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 easynett\Desktop\PROJECTS\Schools Report Card System\worksheet\"/>
    </mc:Choice>
  </mc:AlternateContent>
  <xr:revisionPtr revIDLastSave="0" documentId="13_ncr:1_{5C1C2FDC-9353-48C0-B4BC-9AF5704CA670}" xr6:coauthVersionLast="47" xr6:coauthVersionMax="47" xr10:uidLastSave="{00000000-0000-0000-0000-000000000000}"/>
  <bookViews>
    <workbookView xWindow="-120" yWindow="-120" windowWidth="20730" windowHeight="11160" tabRatio="834" activeTab="7" xr2:uid="{00000000-000D-0000-FFFF-FFFF00000000}"/>
  </bookViews>
  <sheets>
    <sheet name="1st Term" sheetId="1" r:id="rId1"/>
    <sheet name="2nd Term" sheetId="52" r:id="rId2"/>
    <sheet name="comments" sheetId="10" r:id="rId3"/>
    <sheet name="sheet1" sheetId="12" r:id="rId4"/>
    <sheet name="sheet2" sheetId="53" r:id="rId5"/>
    <sheet name="sheet3" sheetId="54" r:id="rId6"/>
    <sheet name="sheet4" sheetId="55" r:id="rId7"/>
    <sheet name="sheet5" sheetId="56" r:id="rId8"/>
    <sheet name="sheet6" sheetId="57" r:id="rId9"/>
    <sheet name="sheet7" sheetId="58" r:id="rId10"/>
    <sheet name="sheet8" sheetId="59" r:id="rId11"/>
    <sheet name="sheet9" sheetId="60" r:id="rId12"/>
    <sheet name="sheet10" sheetId="61" r:id="rId13"/>
    <sheet name="sheet11" sheetId="62" r:id="rId14"/>
    <sheet name="sheet12" sheetId="63" r:id="rId15"/>
    <sheet name="sheet13" sheetId="64" r:id="rId16"/>
    <sheet name="sheet14" sheetId="65" r:id="rId17"/>
    <sheet name="sheet15" sheetId="66" r:id="rId18"/>
    <sheet name="sheet16" sheetId="67" r:id="rId19"/>
    <sheet name="sheet17" sheetId="68" r:id="rId20"/>
    <sheet name="sheet18" sheetId="69" r:id="rId21"/>
    <sheet name="sheet19" sheetId="70" r:id="rId22"/>
    <sheet name="sheet20" sheetId="71" r:id="rId23"/>
    <sheet name="sheet21" sheetId="75" r:id="rId24"/>
    <sheet name="sheet22" sheetId="76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0" l="1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8" i="10"/>
  <c r="D19" i="10"/>
  <c r="C8" i="76" l="1"/>
  <c r="J37" i="76" s="1"/>
  <c r="C8" i="75"/>
  <c r="C8" i="71"/>
  <c r="J34" i="71" s="1"/>
  <c r="C8" i="70"/>
  <c r="J30" i="70" s="1"/>
  <c r="C8" i="69"/>
  <c r="C8" i="68"/>
  <c r="C8" i="67"/>
  <c r="J21" i="67" s="1"/>
  <c r="C8" i="66"/>
  <c r="J31" i="66" s="1"/>
  <c r="C8" i="65"/>
  <c r="C8" i="64"/>
  <c r="J37" i="64" s="1"/>
  <c r="C8" i="63"/>
  <c r="J35" i="63" s="1"/>
  <c r="C8" i="62"/>
  <c r="J35" i="62" s="1"/>
  <c r="C8" i="61"/>
  <c r="C8" i="60"/>
  <c r="C8" i="59"/>
  <c r="C8" i="58"/>
  <c r="C8" i="57"/>
  <c r="C8" i="56"/>
  <c r="C8" i="55"/>
  <c r="C8" i="54"/>
  <c r="C8" i="53"/>
  <c r="J35" i="76"/>
  <c r="J34" i="76"/>
  <c r="J33" i="76"/>
  <c r="J30" i="76"/>
  <c r="J29" i="76"/>
  <c r="J27" i="76"/>
  <c r="J25" i="76"/>
  <c r="J23" i="76"/>
  <c r="J22" i="76"/>
  <c r="J19" i="76"/>
  <c r="D17" i="76"/>
  <c r="D15" i="76"/>
  <c r="C12" i="76"/>
  <c r="C11" i="76"/>
  <c r="C10" i="76"/>
  <c r="C9" i="76"/>
  <c r="J27" i="75"/>
  <c r="J23" i="75"/>
  <c r="J19" i="75"/>
  <c r="D17" i="75"/>
  <c r="D15" i="75"/>
  <c r="C12" i="75"/>
  <c r="C11" i="75"/>
  <c r="C10" i="75"/>
  <c r="C9" i="75"/>
  <c r="J30" i="71"/>
  <c r="D17" i="71"/>
  <c r="D15" i="71"/>
  <c r="C12" i="71"/>
  <c r="C11" i="71"/>
  <c r="C10" i="71"/>
  <c r="C9" i="71"/>
  <c r="J31" i="70"/>
  <c r="J23" i="70"/>
  <c r="D17" i="70"/>
  <c r="D15" i="70"/>
  <c r="C12" i="70"/>
  <c r="C11" i="70"/>
  <c r="C10" i="70"/>
  <c r="C9" i="70"/>
  <c r="D17" i="69"/>
  <c r="D15" i="69"/>
  <c r="C12" i="69"/>
  <c r="C11" i="69"/>
  <c r="C10" i="69"/>
  <c r="C9" i="69"/>
  <c r="J23" i="68"/>
  <c r="J19" i="68"/>
  <c r="D17" i="68"/>
  <c r="D15" i="68"/>
  <c r="C12" i="68"/>
  <c r="C11" i="68"/>
  <c r="C10" i="68"/>
  <c r="C9" i="68"/>
  <c r="D17" i="67"/>
  <c r="D15" i="67"/>
  <c r="C12" i="67"/>
  <c r="C11" i="67"/>
  <c r="C10" i="67"/>
  <c r="C9" i="67"/>
  <c r="J36" i="67"/>
  <c r="J26" i="66"/>
  <c r="D17" i="66"/>
  <c r="D15" i="66"/>
  <c r="C12" i="66"/>
  <c r="C11" i="66"/>
  <c r="C10" i="66"/>
  <c r="C9" i="66"/>
  <c r="D17" i="65"/>
  <c r="D15" i="65"/>
  <c r="C12" i="65"/>
  <c r="C11" i="65"/>
  <c r="C10" i="65"/>
  <c r="C9" i="65"/>
  <c r="D17" i="64"/>
  <c r="D15" i="64"/>
  <c r="C12" i="64"/>
  <c r="C11" i="64"/>
  <c r="C10" i="64"/>
  <c r="C9" i="64"/>
  <c r="J34" i="63"/>
  <c r="J26" i="63"/>
  <c r="J23" i="63"/>
  <c r="D17" i="63"/>
  <c r="D15" i="63"/>
  <c r="C12" i="63"/>
  <c r="C11" i="63"/>
  <c r="C10" i="63"/>
  <c r="C9" i="63"/>
  <c r="D17" i="62"/>
  <c r="D15" i="62"/>
  <c r="C12" i="62"/>
  <c r="C11" i="62"/>
  <c r="C10" i="62"/>
  <c r="C9" i="62"/>
  <c r="J19" i="66" l="1"/>
  <c r="J27" i="66"/>
  <c r="J26" i="70"/>
  <c r="J34" i="70"/>
  <c r="J22" i="66"/>
  <c r="J30" i="66"/>
  <c r="J19" i="70"/>
  <c r="J27" i="70"/>
  <c r="J35" i="70"/>
  <c r="J21" i="76"/>
  <c r="J26" i="76"/>
  <c r="J31" i="76"/>
  <c r="J23" i="66"/>
  <c r="J22" i="70"/>
  <c r="J20" i="75"/>
  <c r="J35" i="75"/>
  <c r="J31" i="75"/>
  <c r="J26" i="71"/>
  <c r="J22" i="71"/>
  <c r="J25" i="68"/>
  <c r="J21" i="68"/>
  <c r="J22" i="67"/>
  <c r="J37" i="66"/>
  <c r="J22" i="64"/>
  <c r="J25" i="64"/>
  <c r="J30" i="64"/>
  <c r="J33" i="64"/>
  <c r="J21" i="64"/>
  <c r="J26" i="64"/>
  <c r="J29" i="64"/>
  <c r="J34" i="64"/>
  <c r="J19" i="63"/>
  <c r="J22" i="63"/>
  <c r="J27" i="63"/>
  <c r="J37" i="75"/>
  <c r="J33" i="75"/>
  <c r="J29" i="75"/>
  <c r="J25" i="75"/>
  <c r="J21" i="75"/>
  <c r="J34" i="75"/>
  <c r="J30" i="75"/>
  <c r="J22" i="75"/>
  <c r="J26" i="75"/>
  <c r="J36" i="75"/>
  <c r="J32" i="75"/>
  <c r="J24" i="75"/>
  <c r="J28" i="75"/>
  <c r="J20" i="76"/>
  <c r="J24" i="76"/>
  <c r="J28" i="76"/>
  <c r="J32" i="76"/>
  <c r="J36" i="76"/>
  <c r="J20" i="62"/>
  <c r="J24" i="62"/>
  <c r="J19" i="62"/>
  <c r="J23" i="62"/>
  <c r="J22" i="62"/>
  <c r="J26" i="62"/>
  <c r="J30" i="62"/>
  <c r="J34" i="62"/>
  <c r="J21" i="63"/>
  <c r="J25" i="63"/>
  <c r="J31" i="63"/>
  <c r="J21" i="65"/>
  <c r="J28" i="62"/>
  <c r="J32" i="62"/>
  <c r="J27" i="62"/>
  <c r="J31" i="62"/>
  <c r="J21" i="62"/>
  <c r="J25" i="62"/>
  <c r="J29" i="62"/>
  <c r="J33" i="62"/>
  <c r="J37" i="62"/>
  <c r="J36" i="63"/>
  <c r="J32" i="63"/>
  <c r="J28" i="63"/>
  <c r="J37" i="63"/>
  <c r="J33" i="63"/>
  <c r="J29" i="63"/>
  <c r="J20" i="63"/>
  <c r="J24" i="63"/>
  <c r="J30" i="63"/>
  <c r="J20" i="65"/>
  <c r="J36" i="62"/>
  <c r="J34" i="65"/>
  <c r="J30" i="65"/>
  <c r="J37" i="65"/>
  <c r="J33" i="65"/>
  <c r="J29" i="65"/>
  <c r="J31" i="65"/>
  <c r="J28" i="65"/>
  <c r="J24" i="65"/>
  <c r="J32" i="65"/>
  <c r="J25" i="65"/>
  <c r="J35" i="65"/>
  <c r="J26" i="65"/>
  <c r="J22" i="65"/>
  <c r="J36" i="65"/>
  <c r="J27" i="65"/>
  <c r="J23" i="65"/>
  <c r="J19" i="65"/>
  <c r="J20" i="64"/>
  <c r="J24" i="64"/>
  <c r="J28" i="64"/>
  <c r="J32" i="64"/>
  <c r="J36" i="64"/>
  <c r="J19" i="64"/>
  <c r="J23" i="64"/>
  <c r="J27" i="64"/>
  <c r="J31" i="64"/>
  <c r="J35" i="64"/>
  <c r="J20" i="66"/>
  <c r="J24" i="66"/>
  <c r="J28" i="66"/>
  <c r="J32" i="66"/>
  <c r="J36" i="66"/>
  <c r="J19" i="67"/>
  <c r="J23" i="67"/>
  <c r="J27" i="67"/>
  <c r="J31" i="67"/>
  <c r="J35" i="66"/>
  <c r="J26" i="67"/>
  <c r="J30" i="67"/>
  <c r="J34" i="66"/>
  <c r="J25" i="67"/>
  <c r="J29" i="67"/>
  <c r="J33" i="67"/>
  <c r="J21" i="66"/>
  <c r="J25" i="66"/>
  <c r="J29" i="66"/>
  <c r="J33" i="66"/>
  <c r="J37" i="67"/>
  <c r="J35" i="67"/>
  <c r="J20" i="67"/>
  <c r="J24" i="67"/>
  <c r="J28" i="67"/>
  <c r="J32" i="67"/>
  <c r="J34" i="67"/>
  <c r="J22" i="68"/>
  <c r="J26" i="68"/>
  <c r="J30" i="68"/>
  <c r="J34" i="68"/>
  <c r="J21" i="69"/>
  <c r="J25" i="69"/>
  <c r="J28" i="69"/>
  <c r="J31" i="69"/>
  <c r="J29" i="68"/>
  <c r="J33" i="68"/>
  <c r="J37" i="68"/>
  <c r="J37" i="69"/>
  <c r="J33" i="69"/>
  <c r="J29" i="69"/>
  <c r="J34" i="69"/>
  <c r="J20" i="69"/>
  <c r="J24" i="69"/>
  <c r="J36" i="69"/>
  <c r="J20" i="68"/>
  <c r="J24" i="68"/>
  <c r="J28" i="68"/>
  <c r="J32" i="68"/>
  <c r="J36" i="68"/>
  <c r="J19" i="69"/>
  <c r="J23" i="69"/>
  <c r="J27" i="69"/>
  <c r="J35" i="69"/>
  <c r="J27" i="68"/>
  <c r="J31" i="68"/>
  <c r="J35" i="68"/>
  <c r="J22" i="69"/>
  <c r="J26" i="69"/>
  <c r="J30" i="69"/>
  <c r="J32" i="69"/>
  <c r="J21" i="71"/>
  <c r="J25" i="71"/>
  <c r="J29" i="71"/>
  <c r="J33" i="71"/>
  <c r="J37" i="71"/>
  <c r="J21" i="70"/>
  <c r="J25" i="70"/>
  <c r="J29" i="70"/>
  <c r="J33" i="70"/>
  <c r="J37" i="70"/>
  <c r="J20" i="71"/>
  <c r="J24" i="71"/>
  <c r="J28" i="71"/>
  <c r="J32" i="71"/>
  <c r="J36" i="71"/>
  <c r="J20" i="70"/>
  <c r="J24" i="70"/>
  <c r="J28" i="70"/>
  <c r="J32" i="70"/>
  <c r="J36" i="70"/>
  <c r="J19" i="71"/>
  <c r="J23" i="71"/>
  <c r="J27" i="71"/>
  <c r="J31" i="71"/>
  <c r="J35" i="71"/>
  <c r="J37" i="61"/>
  <c r="J35" i="61"/>
  <c r="J34" i="61"/>
  <c r="J33" i="61"/>
  <c r="J31" i="61"/>
  <c r="J30" i="61"/>
  <c r="J29" i="61"/>
  <c r="J27" i="61"/>
  <c r="J26" i="61"/>
  <c r="J25" i="61"/>
  <c r="J23" i="61"/>
  <c r="J22" i="61"/>
  <c r="J21" i="61"/>
  <c r="J19" i="61"/>
  <c r="D17" i="61"/>
  <c r="D15" i="61"/>
  <c r="C12" i="61"/>
  <c r="C11" i="61"/>
  <c r="C10" i="61"/>
  <c r="C9" i="61"/>
  <c r="J37" i="60"/>
  <c r="J33" i="60"/>
  <c r="J29" i="60"/>
  <c r="J25" i="60"/>
  <c r="J21" i="60"/>
  <c r="D17" i="60"/>
  <c r="D15" i="60"/>
  <c r="C12" i="60"/>
  <c r="C11" i="60"/>
  <c r="C10" i="60"/>
  <c r="C9" i="60"/>
  <c r="J37" i="59"/>
  <c r="J33" i="59"/>
  <c r="J29" i="59"/>
  <c r="J25" i="59"/>
  <c r="J21" i="59"/>
  <c r="D17" i="59"/>
  <c r="D15" i="59"/>
  <c r="C12" i="59"/>
  <c r="C11" i="59"/>
  <c r="C10" i="59"/>
  <c r="C9" i="59"/>
  <c r="J37" i="58"/>
  <c r="J33" i="58"/>
  <c r="J29" i="58"/>
  <c r="J25" i="58"/>
  <c r="J21" i="58"/>
  <c r="D17" i="58"/>
  <c r="D15" i="58"/>
  <c r="C12" i="58"/>
  <c r="C11" i="58"/>
  <c r="C10" i="58"/>
  <c r="C9" i="58"/>
  <c r="J37" i="57"/>
  <c r="J33" i="57"/>
  <c r="J29" i="57"/>
  <c r="J25" i="57"/>
  <c r="J21" i="57"/>
  <c r="J20" i="57"/>
  <c r="D17" i="57"/>
  <c r="D15" i="57"/>
  <c r="C12" i="57"/>
  <c r="C11" i="57"/>
  <c r="C10" i="57"/>
  <c r="C9" i="57"/>
  <c r="J37" i="56"/>
  <c r="J35" i="56"/>
  <c r="J34" i="56"/>
  <c r="J33" i="56"/>
  <c r="J31" i="56"/>
  <c r="J30" i="56"/>
  <c r="J29" i="56"/>
  <c r="J27" i="56"/>
  <c r="J26" i="56"/>
  <c r="J25" i="56"/>
  <c r="J23" i="56"/>
  <c r="J22" i="56"/>
  <c r="J21" i="56"/>
  <c r="J19" i="56"/>
  <c r="D17" i="56"/>
  <c r="D15" i="56"/>
  <c r="C12" i="56"/>
  <c r="C11" i="56"/>
  <c r="C10" i="56"/>
  <c r="C9" i="56"/>
  <c r="J34" i="55"/>
  <c r="J30" i="55"/>
  <c r="J26" i="55"/>
  <c r="J22" i="55"/>
  <c r="D17" i="55"/>
  <c r="D15" i="55"/>
  <c r="C12" i="55"/>
  <c r="C11" i="55"/>
  <c r="C10" i="55"/>
  <c r="C9" i="55"/>
  <c r="J33" i="54"/>
  <c r="J29" i="54"/>
  <c r="J25" i="54"/>
  <c r="J20" i="54"/>
  <c r="D17" i="54"/>
  <c r="D15" i="54"/>
  <c r="C12" i="54"/>
  <c r="C11" i="54"/>
  <c r="C10" i="54"/>
  <c r="C9" i="54"/>
  <c r="J30" i="53"/>
  <c r="J26" i="53"/>
  <c r="J22" i="53"/>
  <c r="D17" i="53"/>
  <c r="D15" i="53"/>
  <c r="C12" i="53"/>
  <c r="C11" i="53"/>
  <c r="C10" i="53"/>
  <c r="C9" i="53"/>
  <c r="C10" i="12"/>
  <c r="C11" i="12"/>
  <c r="J20" i="61" l="1"/>
  <c r="J24" i="61"/>
  <c r="J28" i="61"/>
  <c r="J32" i="61"/>
  <c r="J36" i="61"/>
  <c r="J20" i="60"/>
  <c r="J28" i="60"/>
  <c r="J19" i="60"/>
  <c r="J23" i="60"/>
  <c r="J27" i="60"/>
  <c r="J31" i="60"/>
  <c r="J35" i="60"/>
  <c r="J24" i="60"/>
  <c r="J32" i="60"/>
  <c r="J36" i="60"/>
  <c r="J22" i="60"/>
  <c r="J26" i="60"/>
  <c r="J30" i="60"/>
  <c r="J34" i="60"/>
  <c r="J20" i="59"/>
  <c r="J24" i="59"/>
  <c r="J28" i="59"/>
  <c r="J32" i="59"/>
  <c r="J36" i="59"/>
  <c r="J19" i="59"/>
  <c r="J23" i="59"/>
  <c r="J27" i="59"/>
  <c r="J31" i="59"/>
  <c r="J35" i="59"/>
  <c r="J22" i="59"/>
  <c r="J26" i="59"/>
  <c r="J30" i="59"/>
  <c r="J34" i="59"/>
  <c r="J20" i="58"/>
  <c r="J24" i="58"/>
  <c r="J28" i="58"/>
  <c r="J32" i="58"/>
  <c r="J36" i="58"/>
  <c r="J19" i="58"/>
  <c r="J23" i="58"/>
  <c r="J27" i="58"/>
  <c r="J31" i="58"/>
  <c r="J35" i="58"/>
  <c r="J22" i="58"/>
  <c r="J26" i="58"/>
  <c r="J30" i="58"/>
  <c r="J34" i="58"/>
  <c r="J34" i="57"/>
  <c r="J30" i="57"/>
  <c r="J26" i="57"/>
  <c r="J22" i="57"/>
  <c r="J35" i="57"/>
  <c r="J31" i="57"/>
  <c r="J27" i="57"/>
  <c r="J23" i="57"/>
  <c r="J19" i="57"/>
  <c r="J36" i="57"/>
  <c r="J32" i="57"/>
  <c r="J28" i="57"/>
  <c r="J24" i="57"/>
  <c r="J20" i="56"/>
  <c r="J24" i="56"/>
  <c r="J28" i="56"/>
  <c r="J32" i="56"/>
  <c r="J36" i="56"/>
  <c r="J21" i="55"/>
  <c r="J25" i="55"/>
  <c r="J29" i="55"/>
  <c r="J33" i="55"/>
  <c r="J37" i="55"/>
  <c r="J20" i="55"/>
  <c r="J24" i="55"/>
  <c r="J28" i="55"/>
  <c r="J32" i="55"/>
  <c r="J36" i="55"/>
  <c r="J19" i="55"/>
  <c r="J23" i="55"/>
  <c r="J27" i="55"/>
  <c r="J31" i="55"/>
  <c r="J35" i="55"/>
  <c r="J34" i="54"/>
  <c r="J30" i="54"/>
  <c r="J26" i="54"/>
  <c r="J22" i="54"/>
  <c r="J35" i="54"/>
  <c r="J31" i="54"/>
  <c r="J27" i="54"/>
  <c r="J23" i="54"/>
  <c r="J19" i="54"/>
  <c r="J36" i="54"/>
  <c r="J32" i="54"/>
  <c r="J28" i="54"/>
  <c r="J24" i="54"/>
  <c r="J21" i="54"/>
  <c r="J37" i="54"/>
  <c r="J34" i="53"/>
  <c r="J21" i="53"/>
  <c r="J25" i="53"/>
  <c r="J29" i="53"/>
  <c r="J33" i="53"/>
  <c r="J37" i="53"/>
  <c r="J20" i="53"/>
  <c r="J24" i="53"/>
  <c r="J28" i="53"/>
  <c r="J32" i="53"/>
  <c r="J36" i="53"/>
  <c r="J19" i="53"/>
  <c r="J23" i="53"/>
  <c r="J27" i="53"/>
  <c r="J31" i="53"/>
  <c r="J35" i="53"/>
  <c r="B9" i="52"/>
  <c r="H23" i="53" s="1"/>
  <c r="B10" i="52"/>
  <c r="H30" i="53" s="1"/>
  <c r="B11" i="52"/>
  <c r="B12" i="52"/>
  <c r="B13" i="52"/>
  <c r="B14" i="52"/>
  <c r="B15" i="52"/>
  <c r="B16" i="52"/>
  <c r="B17" i="52"/>
  <c r="B18" i="52"/>
  <c r="B19" i="52"/>
  <c r="B20" i="52"/>
  <c r="B21" i="52"/>
  <c r="B22" i="52"/>
  <c r="B23" i="52"/>
  <c r="B24" i="52"/>
  <c r="B25" i="52"/>
  <c r="B26" i="52"/>
  <c r="B27" i="52"/>
  <c r="B28" i="52"/>
  <c r="B29" i="52"/>
  <c r="B30" i="52"/>
  <c r="B8" i="10"/>
  <c r="AO48" i="52"/>
  <c r="AP48" i="52" s="1"/>
  <c r="AO47" i="52"/>
  <c r="AP47" i="52" s="1"/>
  <c r="AO46" i="52"/>
  <c r="AP46" i="52" s="1"/>
  <c r="AO45" i="52"/>
  <c r="AP45" i="52" s="1"/>
  <c r="AO44" i="52"/>
  <c r="AP44" i="52" s="1"/>
  <c r="AO43" i="52"/>
  <c r="AP43" i="52" s="1"/>
  <c r="AO42" i="52"/>
  <c r="AP42" i="52" s="1"/>
  <c r="AO41" i="52"/>
  <c r="AP41" i="52" s="1"/>
  <c r="AO40" i="52"/>
  <c r="AP40" i="52" s="1"/>
  <c r="AO39" i="52"/>
  <c r="AP39" i="52" s="1"/>
  <c r="AO38" i="52"/>
  <c r="AP38" i="52" s="1"/>
  <c r="AO37" i="52"/>
  <c r="AP37" i="52" s="1"/>
  <c r="AO36" i="52"/>
  <c r="AP36" i="52" s="1"/>
  <c r="AO35" i="52"/>
  <c r="AP35" i="52" s="1"/>
  <c r="AO34" i="52"/>
  <c r="AP34" i="52" s="1"/>
  <c r="AO33" i="52"/>
  <c r="AP33" i="52" s="1"/>
  <c r="AO32" i="52"/>
  <c r="AP32" i="52" s="1"/>
  <c r="AO31" i="52"/>
  <c r="AP31" i="52" s="1"/>
  <c r="AO30" i="52"/>
  <c r="AP30" i="52" s="1"/>
  <c r="AO29" i="52"/>
  <c r="AP29" i="52" s="1"/>
  <c r="AO28" i="52"/>
  <c r="AP28" i="52" s="1"/>
  <c r="AO27" i="52"/>
  <c r="AP27" i="52" s="1"/>
  <c r="AO26" i="52"/>
  <c r="AP26" i="52" s="1"/>
  <c r="AO25" i="52"/>
  <c r="AP25" i="52" s="1"/>
  <c r="AO24" i="52"/>
  <c r="AP24" i="52" s="1"/>
  <c r="AO23" i="52"/>
  <c r="AP23" i="52" s="1"/>
  <c r="AO22" i="52"/>
  <c r="AP22" i="52" s="1"/>
  <c r="AO21" i="52"/>
  <c r="AP21" i="52" s="1"/>
  <c r="AO20" i="52"/>
  <c r="AP20" i="52" s="1"/>
  <c r="AO19" i="52"/>
  <c r="AP19" i="52" s="1"/>
  <c r="AO18" i="52"/>
  <c r="AP18" i="52" s="1"/>
  <c r="AO17" i="52"/>
  <c r="AP17" i="52" s="1"/>
  <c r="AO16" i="52"/>
  <c r="AP16" i="52" s="1"/>
  <c r="AO15" i="52"/>
  <c r="AP15" i="52" s="1"/>
  <c r="AO14" i="52"/>
  <c r="AP14" i="52" s="1"/>
  <c r="AO13" i="52"/>
  <c r="AP13" i="52" s="1"/>
  <c r="AO12" i="52"/>
  <c r="AP12" i="52" s="1"/>
  <c r="AO11" i="52"/>
  <c r="AP11" i="52" s="1"/>
  <c r="AO10" i="52"/>
  <c r="AP10" i="52" s="1"/>
  <c r="AO9" i="52"/>
  <c r="AP9" i="52" s="1"/>
  <c r="H27" i="54" l="1"/>
  <c r="H36" i="53"/>
  <c r="G20" i="53"/>
  <c r="G30" i="54"/>
  <c r="G36" i="53"/>
  <c r="H25" i="53"/>
  <c r="G25" i="53"/>
  <c r="G34" i="53"/>
  <c r="H25" i="60"/>
  <c r="I36" i="53"/>
  <c r="K36" i="53" s="1"/>
  <c r="L36" i="53" s="1"/>
  <c r="M36" i="53" s="1"/>
  <c r="G24" i="54"/>
  <c r="H29" i="54"/>
  <c r="H33" i="55"/>
  <c r="G28" i="55"/>
  <c r="G21" i="55"/>
  <c r="H19" i="55"/>
  <c r="H26" i="56"/>
  <c r="G33" i="57"/>
  <c r="G24" i="57"/>
  <c r="H29" i="57"/>
  <c r="H20" i="58"/>
  <c r="G29" i="58"/>
  <c r="H37" i="59"/>
  <c r="H32" i="60"/>
  <c r="H29" i="53"/>
  <c r="G24" i="53"/>
  <c r="H34" i="53"/>
  <c r="G29" i="53"/>
  <c r="H27" i="53"/>
  <c r="G22" i="53"/>
  <c r="G26" i="54"/>
  <c r="G29" i="54"/>
  <c r="H34" i="54"/>
  <c r="G20" i="54"/>
  <c r="H25" i="54"/>
  <c r="G36" i="54"/>
  <c r="H20" i="54"/>
  <c r="G31" i="54"/>
  <c r="H36" i="54"/>
  <c r="G32" i="55"/>
  <c r="H21" i="55"/>
  <c r="H30" i="55"/>
  <c r="G25" i="55"/>
  <c r="G34" i="55"/>
  <c r="H23" i="55"/>
  <c r="H30" i="56"/>
  <c r="G25" i="56"/>
  <c r="G29" i="57"/>
  <c r="H34" i="57"/>
  <c r="G20" i="57"/>
  <c r="H25" i="57"/>
  <c r="G36" i="57"/>
  <c r="G31" i="57"/>
  <c r="G27" i="58"/>
  <c r="H37" i="58"/>
  <c r="H21" i="58"/>
  <c r="H34" i="58"/>
  <c r="G27" i="59"/>
  <c r="G37" i="60"/>
  <c r="H22" i="60"/>
  <c r="G33" i="61"/>
  <c r="H22" i="61"/>
  <c r="G33" i="54"/>
  <c r="G19" i="54"/>
  <c r="H24" i="54"/>
  <c r="G35" i="54"/>
  <c r="G37" i="55"/>
  <c r="H26" i="55"/>
  <c r="H35" i="55"/>
  <c r="G30" i="55"/>
  <c r="G21" i="56"/>
  <c r="G30" i="57"/>
  <c r="H20" i="57"/>
  <c r="H36" i="57"/>
  <c r="G32" i="58"/>
  <c r="G25" i="59"/>
  <c r="G20" i="60"/>
  <c r="H33" i="53"/>
  <c r="G28" i="53"/>
  <c r="G35" i="53"/>
  <c r="G33" i="53"/>
  <c r="H22" i="53"/>
  <c r="H31" i="53"/>
  <c r="G26" i="53"/>
  <c r="H22" i="54"/>
  <c r="H30" i="54"/>
  <c r="H21" i="54"/>
  <c r="G32" i="54"/>
  <c r="H37" i="54"/>
  <c r="G27" i="54"/>
  <c r="I27" i="54" s="1"/>
  <c r="K27" i="54" s="1"/>
  <c r="L27" i="54" s="1"/>
  <c r="M27" i="54" s="1"/>
  <c r="H32" i="54"/>
  <c r="G36" i="55"/>
  <c r="H25" i="55"/>
  <c r="G20" i="55"/>
  <c r="H34" i="55"/>
  <c r="G29" i="55"/>
  <c r="H27" i="55"/>
  <c r="G22" i="55"/>
  <c r="H34" i="56"/>
  <c r="G29" i="56"/>
  <c r="H22" i="57"/>
  <c r="H30" i="57"/>
  <c r="H21" i="57"/>
  <c r="G32" i="57"/>
  <c r="H37" i="57"/>
  <c r="H24" i="57"/>
  <c r="H32" i="58"/>
  <c r="G36" i="58"/>
  <c r="G20" i="58"/>
  <c r="I20" i="58" s="1"/>
  <c r="K20" i="58" s="1"/>
  <c r="L20" i="58" s="1"/>
  <c r="M20" i="58" s="1"/>
  <c r="G25" i="58"/>
  <c r="G32" i="59"/>
  <c r="H21" i="59"/>
  <c r="H30" i="59"/>
  <c r="G27" i="60"/>
  <c r="G36" i="60"/>
  <c r="H37" i="76"/>
  <c r="H35" i="76"/>
  <c r="G30" i="76"/>
  <c r="G28" i="76"/>
  <c r="H24" i="76"/>
  <c r="G23" i="76"/>
  <c r="H21" i="76"/>
  <c r="H19" i="76"/>
  <c r="G35" i="71"/>
  <c r="H36" i="70"/>
  <c r="H28" i="70"/>
  <c r="H20" i="70"/>
  <c r="H25" i="68"/>
  <c r="H37" i="68"/>
  <c r="H36" i="64"/>
  <c r="G31" i="64"/>
  <c r="G26" i="64"/>
  <c r="H20" i="64"/>
  <c r="H37" i="64"/>
  <c r="G31" i="63"/>
  <c r="G23" i="63"/>
  <c r="H25" i="76"/>
  <c r="H37" i="70"/>
  <c r="G27" i="70"/>
  <c r="H21" i="70"/>
  <c r="H21" i="68"/>
  <c r="H32" i="64"/>
  <c r="G22" i="64"/>
  <c r="H36" i="76"/>
  <c r="G35" i="76"/>
  <c r="I35" i="76" s="1"/>
  <c r="K35" i="76" s="1"/>
  <c r="L35" i="76" s="1"/>
  <c r="M35" i="76" s="1"/>
  <c r="H33" i="76"/>
  <c r="H31" i="76"/>
  <c r="G26" i="76"/>
  <c r="G24" i="76"/>
  <c r="H20" i="76"/>
  <c r="G19" i="76"/>
  <c r="I19" i="76" s="1"/>
  <c r="K19" i="76" s="1"/>
  <c r="L19" i="76" s="1"/>
  <c r="M19" i="76" s="1"/>
  <c r="G37" i="76"/>
  <c r="G36" i="70"/>
  <c r="I36" i="70" s="1"/>
  <c r="K36" i="70" s="1"/>
  <c r="L36" i="70" s="1"/>
  <c r="M36" i="70" s="1"/>
  <c r="H33" i="70"/>
  <c r="G31" i="70"/>
  <c r="G28" i="70"/>
  <c r="H25" i="70"/>
  <c r="G23" i="70"/>
  <c r="G20" i="70"/>
  <c r="I20" i="70" s="1"/>
  <c r="K20" i="70" s="1"/>
  <c r="L20" i="70" s="1"/>
  <c r="M20" i="70" s="1"/>
  <c r="H19" i="68"/>
  <c r="G22" i="67"/>
  <c r="H20" i="66"/>
  <c r="G35" i="64"/>
  <c r="G30" i="64"/>
  <c r="H24" i="64"/>
  <c r="G19" i="64"/>
  <c r="H20" i="63"/>
  <c r="G34" i="76"/>
  <c r="G32" i="76"/>
  <c r="H29" i="70"/>
  <c r="G19" i="70"/>
  <c r="G26" i="68"/>
  <c r="G36" i="76"/>
  <c r="H32" i="76"/>
  <c r="G31" i="76"/>
  <c r="I31" i="76" s="1"/>
  <c r="K31" i="76" s="1"/>
  <c r="L31" i="76" s="1"/>
  <c r="M31" i="76" s="1"/>
  <c r="H29" i="76"/>
  <c r="H27" i="76"/>
  <c r="G22" i="76"/>
  <c r="G20" i="76"/>
  <c r="I20" i="76" s="1"/>
  <c r="K20" i="76" s="1"/>
  <c r="L20" i="76" s="1"/>
  <c r="M20" i="76" s="1"/>
  <c r="G32" i="75"/>
  <c r="H24" i="71"/>
  <c r="H37" i="71"/>
  <c r="H32" i="70"/>
  <c r="H24" i="70"/>
  <c r="H37" i="69"/>
  <c r="G22" i="68"/>
  <c r="G19" i="67"/>
  <c r="H24" i="66"/>
  <c r="G34" i="64"/>
  <c r="H28" i="64"/>
  <c r="G23" i="64"/>
  <c r="H25" i="63"/>
  <c r="G20" i="63"/>
  <c r="H28" i="76"/>
  <c r="G27" i="76"/>
  <c r="H23" i="76"/>
  <c r="G19" i="71"/>
  <c r="G35" i="70"/>
  <c r="G32" i="70"/>
  <c r="I32" i="70" s="1"/>
  <c r="K32" i="70" s="1"/>
  <c r="L32" i="70" s="1"/>
  <c r="M32" i="70" s="1"/>
  <c r="G24" i="70"/>
  <c r="I24" i="70" s="1"/>
  <c r="K24" i="70" s="1"/>
  <c r="L24" i="70" s="1"/>
  <c r="M24" i="70" s="1"/>
  <c r="G37" i="70"/>
  <c r="H28" i="66"/>
  <c r="G27" i="64"/>
  <c r="G32" i="63"/>
  <c r="G36" i="75"/>
  <c r="G28" i="75"/>
  <c r="H29" i="75"/>
  <c r="G31" i="71"/>
  <c r="H32" i="71"/>
  <c r="H23" i="68"/>
  <c r="G19" i="66"/>
  <c r="H29" i="66"/>
  <c r="G28" i="66"/>
  <c r="H35" i="64"/>
  <c r="G19" i="63"/>
  <c r="H32" i="63"/>
  <c r="I32" i="63" s="1"/>
  <c r="K32" i="63" s="1"/>
  <c r="L32" i="63" s="1"/>
  <c r="M32" i="63" s="1"/>
  <c r="H24" i="63"/>
  <c r="H31" i="75"/>
  <c r="G26" i="75"/>
  <c r="G31" i="75"/>
  <c r="H36" i="75"/>
  <c r="I36" i="75" s="1"/>
  <c r="K36" i="75" s="1"/>
  <c r="L36" i="75" s="1"/>
  <c r="M36" i="75" s="1"/>
  <c r="G37" i="75"/>
  <c r="H25" i="75"/>
  <c r="G29" i="76"/>
  <c r="I29" i="76" s="1"/>
  <c r="K29" i="76" s="1"/>
  <c r="L29" i="76" s="1"/>
  <c r="M29" i="76" s="1"/>
  <c r="H34" i="76"/>
  <c r="G23" i="62"/>
  <c r="H28" i="62"/>
  <c r="G26" i="63"/>
  <c r="H34" i="62"/>
  <c r="H29" i="62"/>
  <c r="H19" i="62"/>
  <c r="G30" i="62"/>
  <c r="H35" i="62"/>
  <c r="H34" i="63"/>
  <c r="G29" i="63"/>
  <c r="G34" i="63"/>
  <c r="H22" i="63"/>
  <c r="H28" i="63"/>
  <c r="G21" i="62"/>
  <c r="G32" i="62"/>
  <c r="H32" i="65"/>
  <c r="H35" i="65"/>
  <c r="G30" i="65"/>
  <c r="G25" i="65"/>
  <c r="G26" i="65"/>
  <c r="G27" i="65"/>
  <c r="H21" i="65"/>
  <c r="G29" i="64"/>
  <c r="H34" i="64"/>
  <c r="I34" i="64" s="1"/>
  <c r="K34" i="64" s="1"/>
  <c r="L34" i="64" s="1"/>
  <c r="M34" i="64" s="1"/>
  <c r="G20" i="64"/>
  <c r="H25" i="64"/>
  <c r="G36" i="64"/>
  <c r="H22" i="66"/>
  <c r="G33" i="66"/>
  <c r="G24" i="67"/>
  <c r="H29" i="67"/>
  <c r="G37" i="67"/>
  <c r="G36" i="66"/>
  <c r="G31" i="67"/>
  <c r="G31" i="66"/>
  <c r="H36" i="66"/>
  <c r="H27" i="67"/>
  <c r="G22" i="66"/>
  <c r="H27" i="66"/>
  <c r="H35" i="67"/>
  <c r="H22" i="67"/>
  <c r="G33" i="67"/>
  <c r="H20" i="68"/>
  <c r="G31" i="68"/>
  <c r="H36" i="68"/>
  <c r="H23" i="69"/>
  <c r="G30" i="68"/>
  <c r="H35" i="68"/>
  <c r="G34" i="69"/>
  <c r="H32" i="69"/>
  <c r="H22" i="69"/>
  <c r="H30" i="69"/>
  <c r="G24" i="68"/>
  <c r="H33" i="75"/>
  <c r="H36" i="71"/>
  <c r="G23" i="71"/>
  <c r="H19" i="67"/>
  <c r="H21" i="66"/>
  <c r="G20" i="66"/>
  <c r="H27" i="64"/>
  <c r="H31" i="64"/>
  <c r="H21" i="63"/>
  <c r="H35" i="75"/>
  <c r="G30" i="75"/>
  <c r="H19" i="75"/>
  <c r="H20" i="75"/>
  <c r="G35" i="75"/>
  <c r="I35" i="75" s="1"/>
  <c r="K35" i="75" s="1"/>
  <c r="L35" i="75" s="1"/>
  <c r="M35" i="75" s="1"/>
  <c r="H22" i="75"/>
  <c r="G25" i="76"/>
  <c r="H30" i="76"/>
  <c r="I30" i="76" s="1"/>
  <c r="K30" i="76" s="1"/>
  <c r="L30" i="76" s="1"/>
  <c r="M30" i="76" s="1"/>
  <c r="G29" i="62"/>
  <c r="G24" i="62"/>
  <c r="G19" i="62"/>
  <c r="H24" i="62"/>
  <c r="G35" i="62"/>
  <c r="G22" i="63"/>
  <c r="I22" i="63" s="1"/>
  <c r="K22" i="63" s="1"/>
  <c r="L22" i="63" s="1"/>
  <c r="M22" i="63" s="1"/>
  <c r="H27" i="63"/>
  <c r="G36" i="63"/>
  <c r="G25" i="62"/>
  <c r="G20" i="62"/>
  <c r="G26" i="62"/>
  <c r="H31" i="62"/>
  <c r="G33" i="63"/>
  <c r="H26" i="75"/>
  <c r="H25" i="66"/>
  <c r="G24" i="63"/>
  <c r="G34" i="75"/>
  <c r="G23" i="75"/>
  <c r="H28" i="75"/>
  <c r="I28" i="75" s="1"/>
  <c r="K28" i="75" s="1"/>
  <c r="L28" i="75" s="1"/>
  <c r="M28" i="75" s="1"/>
  <c r="H34" i="75"/>
  <c r="G29" i="75"/>
  <c r="G33" i="76"/>
  <c r="H25" i="62"/>
  <c r="H32" i="62"/>
  <c r="H29" i="63"/>
  <c r="H27" i="62"/>
  <c r="H30" i="63"/>
  <c r="G25" i="63"/>
  <c r="H36" i="63"/>
  <c r="H36" i="65"/>
  <c r="H31" i="65"/>
  <c r="H30" i="65"/>
  <c r="H23" i="65"/>
  <c r="G32" i="65"/>
  <c r="I32" i="65" s="1"/>
  <c r="K32" i="65" s="1"/>
  <c r="L32" i="65" s="1"/>
  <c r="M32" i="65" s="1"/>
  <c r="G23" i="65"/>
  <c r="G28" i="65"/>
  <c r="G25" i="64"/>
  <c r="G32" i="64"/>
  <c r="H26" i="66"/>
  <c r="H25" i="67"/>
  <c r="G32" i="67"/>
  <c r="H32" i="67"/>
  <c r="G26" i="67"/>
  <c r="H23" i="66"/>
  <c r="G30" i="66"/>
  <c r="H35" i="66"/>
  <c r="G36" i="67"/>
  <c r="G21" i="67"/>
  <c r="G23" i="68"/>
  <c r="H28" i="68"/>
  <c r="G35" i="68"/>
  <c r="H29" i="69"/>
  <c r="H27" i="68"/>
  <c r="G34" i="68"/>
  <c r="H36" i="69"/>
  <c r="H26" i="69"/>
  <c r="G25" i="68"/>
  <c r="I25" i="68" s="1"/>
  <c r="K25" i="68" s="1"/>
  <c r="L25" i="68" s="1"/>
  <c r="M25" i="68" s="1"/>
  <c r="H30" i="68"/>
  <c r="H21" i="69"/>
  <c r="H33" i="69"/>
  <c r="G32" i="68"/>
  <c r="G23" i="69"/>
  <c r="H28" i="69"/>
  <c r="G37" i="69"/>
  <c r="H23" i="71"/>
  <c r="G34" i="71"/>
  <c r="G26" i="70"/>
  <c r="H31" i="70"/>
  <c r="I31" i="70" s="1"/>
  <c r="K31" i="70" s="1"/>
  <c r="L31" i="70" s="1"/>
  <c r="M31" i="70" s="1"/>
  <c r="H22" i="71"/>
  <c r="G33" i="71"/>
  <c r="G29" i="70"/>
  <c r="H34" i="70"/>
  <c r="H21" i="71"/>
  <c r="G32" i="71"/>
  <c r="I32" i="71" s="1"/>
  <c r="K32" i="71" s="1"/>
  <c r="L32" i="71" s="1"/>
  <c r="M32" i="71" s="1"/>
  <c r="G34" i="61"/>
  <c r="G32" i="61"/>
  <c r="H28" i="61"/>
  <c r="G27" i="61"/>
  <c r="H25" i="61"/>
  <c r="H23" i="61"/>
  <c r="H35" i="60"/>
  <c r="G30" i="60"/>
  <c r="H19" i="60"/>
  <c r="H31" i="59"/>
  <c r="G26" i="59"/>
  <c r="H36" i="59"/>
  <c r="H27" i="58"/>
  <c r="G22" i="58"/>
  <c r="G34" i="57"/>
  <c r="H27" i="57"/>
  <c r="G25" i="57"/>
  <c r="G36" i="56"/>
  <c r="H32" i="56"/>
  <c r="G31" i="56"/>
  <c r="H29" i="56"/>
  <c r="H27" i="56"/>
  <c r="G22" i="56"/>
  <c r="G20" i="56"/>
  <c r="H36" i="55"/>
  <c r="G31" i="55"/>
  <c r="H20" i="55"/>
  <c r="H31" i="54"/>
  <c r="G25" i="54"/>
  <c r="G31" i="53"/>
  <c r="H20" i="53"/>
  <c r="I20" i="53" s="1"/>
  <c r="K20" i="53" s="1"/>
  <c r="L20" i="53" s="1"/>
  <c r="M20" i="53" s="1"/>
  <c r="G28" i="64"/>
  <c r="H33" i="64"/>
  <c r="G21" i="66"/>
  <c r="I21" i="66" s="1"/>
  <c r="K21" i="66" s="1"/>
  <c r="L21" i="66" s="1"/>
  <c r="M21" i="66" s="1"/>
  <c r="H34" i="66"/>
  <c r="G20" i="67"/>
  <c r="H33" i="67"/>
  <c r="H37" i="66"/>
  <c r="G27" i="67"/>
  <c r="G35" i="67"/>
  <c r="I35" i="67" s="1"/>
  <c r="K35" i="67" s="1"/>
  <c r="L35" i="67" s="1"/>
  <c r="M35" i="67" s="1"/>
  <c r="G35" i="66"/>
  <c r="H34" i="67"/>
  <c r="H31" i="66"/>
  <c r="G29" i="67"/>
  <c r="H24" i="68"/>
  <c r="I24" i="68" s="1"/>
  <c r="K24" i="68" s="1"/>
  <c r="L24" i="68" s="1"/>
  <c r="M24" i="68" s="1"/>
  <c r="H19" i="69"/>
  <c r="G26" i="69"/>
  <c r="H31" i="69"/>
  <c r="G35" i="69"/>
  <c r="G21" i="69"/>
  <c r="G33" i="69"/>
  <c r="G21" i="68"/>
  <c r="I21" i="68" s="1"/>
  <c r="K21" i="68" s="1"/>
  <c r="L21" i="68" s="1"/>
  <c r="M21" i="68" s="1"/>
  <c r="H26" i="68"/>
  <c r="G37" i="68"/>
  <c r="G28" i="69"/>
  <c r="H33" i="68"/>
  <c r="G19" i="69"/>
  <c r="H24" i="69"/>
  <c r="G29" i="69"/>
  <c r="H19" i="71"/>
  <c r="I19" i="71" s="1"/>
  <c r="K19" i="71" s="1"/>
  <c r="L19" i="71" s="1"/>
  <c r="M19" i="71" s="1"/>
  <c r="G22" i="70"/>
  <c r="G29" i="71"/>
  <c r="H34" i="71"/>
  <c r="G28" i="71"/>
  <c r="H33" i="71"/>
  <c r="H37" i="61"/>
  <c r="H35" i="61"/>
  <c r="G30" i="61"/>
  <c r="H19" i="61"/>
  <c r="G34" i="60"/>
  <c r="H23" i="60"/>
  <c r="H35" i="59"/>
  <c r="G30" i="59"/>
  <c r="H31" i="58"/>
  <c r="G26" i="58"/>
  <c r="H36" i="58"/>
  <c r="H23" i="57"/>
  <c r="H19" i="57"/>
  <c r="G34" i="56"/>
  <c r="G32" i="56"/>
  <c r="H28" i="56"/>
  <c r="G27" i="56"/>
  <c r="I27" i="56" s="1"/>
  <c r="K27" i="56" s="1"/>
  <c r="L27" i="56" s="1"/>
  <c r="M27" i="56" s="1"/>
  <c r="H25" i="56"/>
  <c r="H23" i="56"/>
  <c r="G35" i="55"/>
  <c r="G19" i="55"/>
  <c r="H37" i="53"/>
  <c r="G21" i="63"/>
  <c r="H37" i="65"/>
  <c r="H27" i="65"/>
  <c r="H20" i="65"/>
  <c r="H34" i="65"/>
  <c r="G29" i="66"/>
  <c r="H36" i="67"/>
  <c r="H19" i="66"/>
  <c r="G25" i="67"/>
  <c r="G19" i="68"/>
  <c r="H33" i="63"/>
  <c r="G25" i="75"/>
  <c r="G27" i="71"/>
  <c r="G24" i="66"/>
  <c r="H19" i="64"/>
  <c r="G27" i="63"/>
  <c r="H23" i="75"/>
  <c r="H32" i="75"/>
  <c r="G27" i="75"/>
  <c r="G33" i="75"/>
  <c r="H37" i="75"/>
  <c r="H26" i="76"/>
  <c r="H30" i="62"/>
  <c r="H37" i="62"/>
  <c r="G27" i="62"/>
  <c r="I27" i="62" s="1"/>
  <c r="K27" i="62" s="1"/>
  <c r="L27" i="62" s="1"/>
  <c r="M27" i="62" s="1"/>
  <c r="H23" i="63"/>
  <c r="G22" i="62"/>
  <c r="G37" i="63"/>
  <c r="H31" i="63"/>
  <c r="H26" i="63"/>
  <c r="G33" i="62"/>
  <c r="G35" i="65"/>
  <c r="H29" i="65"/>
  <c r="H22" i="65"/>
  <c r="G29" i="65"/>
  <c r="G22" i="65"/>
  <c r="H28" i="65"/>
  <c r="G20" i="65"/>
  <c r="G21" i="64"/>
  <c r="H26" i="64"/>
  <c r="I26" i="64" s="1"/>
  <c r="K26" i="64" s="1"/>
  <c r="L26" i="64" s="1"/>
  <c r="M26" i="64" s="1"/>
  <c r="G33" i="64"/>
  <c r="H21" i="64"/>
  <c r="G28" i="68"/>
  <c r="G30" i="71"/>
  <c r="H35" i="71"/>
  <c r="H27" i="70"/>
  <c r="G25" i="70"/>
  <c r="H30" i="70"/>
  <c r="G28" i="61"/>
  <c r="H24" i="61"/>
  <c r="G23" i="61"/>
  <c r="I23" i="61" s="1"/>
  <c r="K23" i="61" s="1"/>
  <c r="L23" i="61" s="1"/>
  <c r="M23" i="61" s="1"/>
  <c r="H21" i="61"/>
  <c r="H19" i="59"/>
  <c r="H26" i="57"/>
  <c r="H24" i="55"/>
  <c r="H37" i="55"/>
  <c r="H23" i="54"/>
  <c r="H24" i="53"/>
  <c r="G19" i="53"/>
  <c r="G22" i="75"/>
  <c r="G21" i="75"/>
  <c r="G21" i="76"/>
  <c r="I21" i="76" s="1"/>
  <c r="K21" i="76" s="1"/>
  <c r="L21" i="76" s="1"/>
  <c r="M21" i="76" s="1"/>
  <c r="H20" i="62"/>
  <c r="H36" i="62"/>
  <c r="H33" i="62"/>
  <c r="H23" i="62"/>
  <c r="G30" i="63"/>
  <c r="H26" i="62"/>
  <c r="G37" i="65"/>
  <c r="H22" i="64"/>
  <c r="G28" i="67"/>
  <c r="G23" i="67"/>
  <c r="H23" i="67"/>
  <c r="G26" i="66"/>
  <c r="I26" i="66" s="1"/>
  <c r="K26" i="66" s="1"/>
  <c r="L26" i="66" s="1"/>
  <c r="M26" i="66" s="1"/>
  <c r="G20" i="75"/>
  <c r="H20" i="71"/>
  <c r="H28" i="71"/>
  <c r="H20" i="67"/>
  <c r="G27" i="66"/>
  <c r="G19" i="75"/>
  <c r="G34" i="65"/>
  <c r="I34" i="65" s="1"/>
  <c r="K34" i="65" s="1"/>
  <c r="L34" i="65" s="1"/>
  <c r="M34" i="65" s="1"/>
  <c r="H25" i="65"/>
  <c r="H29" i="64"/>
  <c r="H21" i="67"/>
  <c r="G32" i="66"/>
  <c r="H28" i="67"/>
  <c r="G30" i="67"/>
  <c r="G34" i="67"/>
  <c r="H30" i="67"/>
  <c r="H32" i="68"/>
  <c r="H21" i="75"/>
  <c r="G20" i="68"/>
  <c r="I20" i="68" s="1"/>
  <c r="K20" i="68" s="1"/>
  <c r="L20" i="68" s="1"/>
  <c r="M20" i="68" s="1"/>
  <c r="H24" i="75"/>
  <c r="H19" i="63"/>
  <c r="G36" i="62"/>
  <c r="G36" i="65"/>
  <c r="H33" i="65"/>
  <c r="G19" i="65"/>
  <c r="G24" i="65"/>
  <c r="G25" i="66"/>
  <c r="H24" i="67"/>
  <c r="G29" i="68"/>
  <c r="G24" i="69"/>
  <c r="I24" i="69" s="1"/>
  <c r="K24" i="69" s="1"/>
  <c r="L24" i="69" s="1"/>
  <c r="M24" i="69" s="1"/>
  <c r="G32" i="69"/>
  <c r="G36" i="68"/>
  <c r="G27" i="69"/>
  <c r="G22" i="71"/>
  <c r="H19" i="70"/>
  <c r="H35" i="70"/>
  <c r="H30" i="71"/>
  <c r="H26" i="70"/>
  <c r="G24" i="71"/>
  <c r="H36" i="61"/>
  <c r="H20" i="61"/>
  <c r="G26" i="60"/>
  <c r="G34" i="59"/>
  <c r="G34" i="58"/>
  <c r="H37" i="56"/>
  <c r="G35" i="56"/>
  <c r="G26" i="56"/>
  <c r="H21" i="56"/>
  <c r="G19" i="56"/>
  <c r="G37" i="56"/>
  <c r="H28" i="55"/>
  <c r="G22" i="54"/>
  <c r="H32" i="53"/>
  <c r="H34" i="68"/>
  <c r="G31" i="69"/>
  <c r="G19" i="61"/>
  <c r="G26" i="57"/>
  <c r="I26" i="57" s="1"/>
  <c r="K26" i="57" s="1"/>
  <c r="L26" i="57" s="1"/>
  <c r="M26" i="57" s="1"/>
  <c r="G24" i="75"/>
  <c r="G23" i="66"/>
  <c r="H22" i="76"/>
  <c r="H19" i="65"/>
  <c r="H21" i="62"/>
  <c r="G34" i="62"/>
  <c r="G35" i="63"/>
  <c r="G28" i="62"/>
  <c r="G24" i="64"/>
  <c r="G37" i="66"/>
  <c r="G34" i="66"/>
  <c r="G27" i="68"/>
  <c r="G22" i="69"/>
  <c r="H31" i="68"/>
  <c r="H35" i="69"/>
  <c r="G25" i="69"/>
  <c r="H22" i="68"/>
  <c r="I22" i="68" s="1"/>
  <c r="K22" i="68" s="1"/>
  <c r="L22" i="68" s="1"/>
  <c r="M22" i="68" s="1"/>
  <c r="H25" i="69"/>
  <c r="H29" i="68"/>
  <c r="H20" i="69"/>
  <c r="H31" i="71"/>
  <c r="G30" i="70"/>
  <c r="I30" i="70" s="1"/>
  <c r="K30" i="70" s="1"/>
  <c r="L30" i="70" s="1"/>
  <c r="M30" i="70" s="1"/>
  <c r="G25" i="71"/>
  <c r="G21" i="70"/>
  <c r="H25" i="71"/>
  <c r="G36" i="61"/>
  <c r="H31" i="61"/>
  <c r="H29" i="61"/>
  <c r="G26" i="61"/>
  <c r="G20" i="61"/>
  <c r="H31" i="60"/>
  <c r="H23" i="59"/>
  <c r="H23" i="58"/>
  <c r="H31" i="57"/>
  <c r="G22" i="57"/>
  <c r="H36" i="56"/>
  <c r="H31" i="56"/>
  <c r="G28" i="56"/>
  <c r="G23" i="56"/>
  <c r="I23" i="56" s="1"/>
  <c r="K23" i="56" s="1"/>
  <c r="L23" i="56" s="1"/>
  <c r="M23" i="56" s="1"/>
  <c r="H20" i="56"/>
  <c r="G27" i="55"/>
  <c r="G23" i="53"/>
  <c r="I23" i="53" s="1"/>
  <c r="K23" i="53" s="1"/>
  <c r="L23" i="53" s="1"/>
  <c r="M23" i="53" s="1"/>
  <c r="G30" i="58"/>
  <c r="H32" i="55"/>
  <c r="H22" i="62"/>
  <c r="H35" i="63"/>
  <c r="G37" i="62"/>
  <c r="G31" i="65"/>
  <c r="I31" i="65" s="1"/>
  <c r="K31" i="65" s="1"/>
  <c r="L31" i="65" s="1"/>
  <c r="M31" i="65" s="1"/>
  <c r="H26" i="65"/>
  <c r="G21" i="65"/>
  <c r="H31" i="67"/>
  <c r="H37" i="67"/>
  <c r="H26" i="67"/>
  <c r="G34" i="70"/>
  <c r="G21" i="71"/>
  <c r="G37" i="71"/>
  <c r="I37" i="71" s="1"/>
  <c r="K37" i="71" s="1"/>
  <c r="L37" i="71" s="1"/>
  <c r="M37" i="71" s="1"/>
  <c r="G33" i="70"/>
  <c r="I33" i="70" s="1"/>
  <c r="K33" i="70" s="1"/>
  <c r="L33" i="70" s="1"/>
  <c r="M33" i="70" s="1"/>
  <c r="H29" i="71"/>
  <c r="H32" i="61"/>
  <c r="G24" i="61"/>
  <c r="I24" i="61" s="1"/>
  <c r="K24" i="61" s="1"/>
  <c r="L24" i="61" s="1"/>
  <c r="M24" i="61" s="1"/>
  <c r="H27" i="60"/>
  <c r="H27" i="59"/>
  <c r="H35" i="58"/>
  <c r="H19" i="58"/>
  <c r="H35" i="57"/>
  <c r="H35" i="56"/>
  <c r="G30" i="56"/>
  <c r="G24" i="56"/>
  <c r="G34" i="54"/>
  <c r="G27" i="53"/>
  <c r="H30" i="75"/>
  <c r="G31" i="62"/>
  <c r="H24" i="65"/>
  <c r="G33" i="65"/>
  <c r="G37" i="64"/>
  <c r="H30" i="66"/>
  <c r="H33" i="66"/>
  <c r="G36" i="69"/>
  <c r="H34" i="69"/>
  <c r="G33" i="68"/>
  <c r="G20" i="69"/>
  <c r="G26" i="71"/>
  <c r="H23" i="70"/>
  <c r="H26" i="71"/>
  <c r="H22" i="70"/>
  <c r="G20" i="71"/>
  <c r="I20" i="71" s="1"/>
  <c r="K20" i="71" s="1"/>
  <c r="L20" i="71" s="1"/>
  <c r="M20" i="71" s="1"/>
  <c r="G36" i="71"/>
  <c r="H33" i="61"/>
  <c r="G31" i="61"/>
  <c r="G22" i="61"/>
  <c r="G37" i="61"/>
  <c r="G22" i="60"/>
  <c r="H36" i="60"/>
  <c r="G22" i="59"/>
  <c r="H24" i="56"/>
  <c r="H26" i="54"/>
  <c r="H28" i="53"/>
  <c r="H23" i="64"/>
  <c r="H37" i="63"/>
  <c r="H27" i="75"/>
  <c r="G28" i="63"/>
  <c r="I28" i="63" s="1"/>
  <c r="K28" i="63" s="1"/>
  <c r="L28" i="63" s="1"/>
  <c r="M28" i="63" s="1"/>
  <c r="H30" i="64"/>
  <c r="I30" i="64" s="1"/>
  <c r="K30" i="64" s="1"/>
  <c r="L30" i="64" s="1"/>
  <c r="M30" i="64" s="1"/>
  <c r="H32" i="66"/>
  <c r="H27" i="69"/>
  <c r="G30" i="69"/>
  <c r="H27" i="71"/>
  <c r="G35" i="61"/>
  <c r="H27" i="61"/>
  <c r="H33" i="56"/>
  <c r="H19" i="56"/>
  <c r="G23" i="55"/>
  <c r="G29" i="61"/>
  <c r="I29" i="61" s="1"/>
  <c r="K29" i="61" s="1"/>
  <c r="L29" i="61" s="1"/>
  <c r="M29" i="61" s="1"/>
  <c r="H34" i="61"/>
  <c r="G29" i="60"/>
  <c r="H21" i="60"/>
  <c r="G32" i="60"/>
  <c r="H37" i="60"/>
  <c r="G33" i="60"/>
  <c r="G23" i="60"/>
  <c r="H28" i="60"/>
  <c r="G21" i="59"/>
  <c r="H26" i="59"/>
  <c r="I26" i="59" s="1"/>
  <c r="K26" i="59" s="1"/>
  <c r="L26" i="59" s="1"/>
  <c r="M26" i="59" s="1"/>
  <c r="G37" i="59"/>
  <c r="G28" i="59"/>
  <c r="H33" i="59"/>
  <c r="G23" i="59"/>
  <c r="H28" i="59"/>
  <c r="G21" i="58"/>
  <c r="H26" i="58"/>
  <c r="G37" i="58"/>
  <c r="G28" i="58"/>
  <c r="H33" i="58"/>
  <c r="G23" i="58"/>
  <c r="I23" i="58" s="1"/>
  <c r="K23" i="58" s="1"/>
  <c r="L23" i="58" s="1"/>
  <c r="M23" i="58" s="1"/>
  <c r="H28" i="58"/>
  <c r="H28" i="57"/>
  <c r="G23" i="57"/>
  <c r="I23" i="57" s="1"/>
  <c r="K23" i="57" s="1"/>
  <c r="L23" i="57" s="1"/>
  <c r="M23" i="57" s="1"/>
  <c r="G25" i="61"/>
  <c r="H30" i="61"/>
  <c r="H30" i="60"/>
  <c r="I30" i="60" s="1"/>
  <c r="K30" i="60" s="1"/>
  <c r="L30" i="60" s="1"/>
  <c r="M30" i="60" s="1"/>
  <c r="G28" i="60"/>
  <c r="I28" i="60" s="1"/>
  <c r="K28" i="60" s="1"/>
  <c r="L28" i="60" s="1"/>
  <c r="M28" i="60" s="1"/>
  <c r="H33" i="60"/>
  <c r="G25" i="60"/>
  <c r="I25" i="60" s="1"/>
  <c r="K25" i="60" s="1"/>
  <c r="L25" i="60" s="1"/>
  <c r="M25" i="60" s="1"/>
  <c r="H34" i="60"/>
  <c r="G19" i="60"/>
  <c r="I19" i="60" s="1"/>
  <c r="K19" i="60" s="1"/>
  <c r="L19" i="60" s="1"/>
  <c r="M19" i="60" s="1"/>
  <c r="H24" i="60"/>
  <c r="G35" i="60"/>
  <c r="I35" i="60" s="1"/>
  <c r="K35" i="60" s="1"/>
  <c r="L35" i="60" s="1"/>
  <c r="M35" i="60" s="1"/>
  <c r="H22" i="59"/>
  <c r="G33" i="59"/>
  <c r="G24" i="59"/>
  <c r="H29" i="59"/>
  <c r="G19" i="59"/>
  <c r="I19" i="59" s="1"/>
  <c r="K19" i="59" s="1"/>
  <c r="L19" i="59" s="1"/>
  <c r="M19" i="59" s="1"/>
  <c r="H24" i="59"/>
  <c r="G35" i="59"/>
  <c r="H22" i="58"/>
  <c r="G33" i="58"/>
  <c r="G24" i="58"/>
  <c r="H29" i="58"/>
  <c r="I29" i="58" s="1"/>
  <c r="K29" i="58" s="1"/>
  <c r="L29" i="58" s="1"/>
  <c r="M29" i="58" s="1"/>
  <c r="G19" i="58"/>
  <c r="H24" i="58"/>
  <c r="G35" i="58"/>
  <c r="H32" i="57"/>
  <c r="G27" i="57"/>
  <c r="G21" i="61"/>
  <c r="H26" i="61"/>
  <c r="G24" i="60"/>
  <c r="I24" i="60" s="1"/>
  <c r="K24" i="60" s="1"/>
  <c r="L24" i="60" s="1"/>
  <c r="M24" i="60" s="1"/>
  <c r="H29" i="60"/>
  <c r="G21" i="60"/>
  <c r="I21" i="60" s="1"/>
  <c r="K21" i="60" s="1"/>
  <c r="L21" i="60" s="1"/>
  <c r="M21" i="60" s="1"/>
  <c r="H26" i="60"/>
  <c r="H20" i="60"/>
  <c r="G31" i="60"/>
  <c r="G29" i="59"/>
  <c r="H34" i="59"/>
  <c r="G20" i="59"/>
  <c r="H25" i="59"/>
  <c r="I25" i="59" s="1"/>
  <c r="K25" i="59" s="1"/>
  <c r="L25" i="59" s="1"/>
  <c r="M25" i="59" s="1"/>
  <c r="G36" i="59"/>
  <c r="I36" i="59" s="1"/>
  <c r="K36" i="59" s="1"/>
  <c r="L36" i="59" s="1"/>
  <c r="M36" i="59" s="1"/>
  <c r="H20" i="59"/>
  <c r="G31" i="59"/>
  <c r="I31" i="59" s="1"/>
  <c r="K31" i="59" s="1"/>
  <c r="L31" i="59" s="1"/>
  <c r="M31" i="59" s="1"/>
  <c r="G32" i="53"/>
  <c r="H21" i="53"/>
  <c r="G37" i="53"/>
  <c r="H26" i="53"/>
  <c r="G21" i="53"/>
  <c r="H35" i="53"/>
  <c r="G30" i="53"/>
  <c r="I30" i="53" s="1"/>
  <c r="K30" i="53" s="1"/>
  <c r="L30" i="53" s="1"/>
  <c r="M30" i="53" s="1"/>
  <c r="H19" i="53"/>
  <c r="I19" i="53" s="1"/>
  <c r="K19" i="53" s="1"/>
  <c r="L19" i="53" s="1"/>
  <c r="M19" i="53" s="1"/>
  <c r="H35" i="54"/>
  <c r="H19" i="54"/>
  <c r="G21" i="54"/>
  <c r="G37" i="54"/>
  <c r="I37" i="54" s="1"/>
  <c r="K37" i="54" s="1"/>
  <c r="L37" i="54" s="1"/>
  <c r="M37" i="54" s="1"/>
  <c r="G28" i="54"/>
  <c r="H33" i="54"/>
  <c r="G23" i="54"/>
  <c r="H28" i="54"/>
  <c r="H29" i="55"/>
  <c r="G24" i="55"/>
  <c r="G33" i="55"/>
  <c r="I33" i="55" s="1"/>
  <c r="K33" i="55" s="1"/>
  <c r="L33" i="55" s="1"/>
  <c r="M33" i="55" s="1"/>
  <c r="H22" i="55"/>
  <c r="H31" i="55"/>
  <c r="G26" i="55"/>
  <c r="G33" i="56"/>
  <c r="I33" i="56" s="1"/>
  <c r="K33" i="56" s="1"/>
  <c r="L33" i="56" s="1"/>
  <c r="M33" i="56" s="1"/>
  <c r="H22" i="56"/>
  <c r="G21" i="57"/>
  <c r="I21" i="57" s="1"/>
  <c r="K21" i="57" s="1"/>
  <c r="L21" i="57" s="1"/>
  <c r="M21" i="57" s="1"/>
  <c r="G37" i="57"/>
  <c r="G28" i="57"/>
  <c r="H33" i="57"/>
  <c r="I33" i="57" s="1"/>
  <c r="K33" i="57" s="1"/>
  <c r="L33" i="57" s="1"/>
  <c r="M33" i="57" s="1"/>
  <c r="G19" i="57"/>
  <c r="G35" i="57"/>
  <c r="G31" i="58"/>
  <c r="H25" i="58"/>
  <c r="H30" i="58"/>
  <c r="H32" i="59"/>
  <c r="I30" i="55"/>
  <c r="K30" i="55" s="1"/>
  <c r="L30" i="55" s="1"/>
  <c r="M30" i="55" s="1"/>
  <c r="I25" i="53"/>
  <c r="K25" i="53" s="1"/>
  <c r="L25" i="53" s="1"/>
  <c r="M25" i="53" s="1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H11" i="65" s="1"/>
  <c r="AO23" i="1"/>
  <c r="AP23" i="1" s="1"/>
  <c r="AO24" i="1"/>
  <c r="AO25" i="1"/>
  <c r="AP25" i="1" s="1"/>
  <c r="AO26" i="1"/>
  <c r="AP26" i="1" s="1"/>
  <c r="AO27" i="1"/>
  <c r="AO28" i="1"/>
  <c r="AP28" i="1" s="1"/>
  <c r="AO29" i="1"/>
  <c r="AP29" i="1" s="1"/>
  <c r="AO30" i="1"/>
  <c r="AP30" i="1" s="1"/>
  <c r="AO31" i="1"/>
  <c r="AO32" i="1"/>
  <c r="AO33" i="1"/>
  <c r="AP33" i="1" s="1"/>
  <c r="AO34" i="1"/>
  <c r="AP34" i="1" s="1"/>
  <c r="AO35" i="1"/>
  <c r="AO36" i="1"/>
  <c r="AP36" i="1" s="1"/>
  <c r="AO37" i="1"/>
  <c r="AP37" i="1" s="1"/>
  <c r="AO38" i="1"/>
  <c r="AP38" i="1" s="1"/>
  <c r="AO39" i="1"/>
  <c r="AO40" i="1"/>
  <c r="AO41" i="1"/>
  <c r="AP41" i="1" s="1"/>
  <c r="AO42" i="1"/>
  <c r="AP42" i="1" s="1"/>
  <c r="AO43" i="1"/>
  <c r="AO44" i="1"/>
  <c r="AP44" i="1" s="1"/>
  <c r="AO45" i="1"/>
  <c r="AP45" i="1" s="1"/>
  <c r="AO46" i="1"/>
  <c r="AP46" i="1" s="1"/>
  <c r="AO47" i="1"/>
  <c r="AO48" i="1"/>
  <c r="AP48" i="1" s="1"/>
  <c r="AP16" i="1"/>
  <c r="AP24" i="1"/>
  <c r="AP27" i="1"/>
  <c r="AP31" i="1"/>
  <c r="AP32" i="1"/>
  <c r="AP35" i="1"/>
  <c r="AP39" i="1"/>
  <c r="AP40" i="1"/>
  <c r="AP43" i="1"/>
  <c r="AP47" i="1"/>
  <c r="I22" i="56" l="1"/>
  <c r="K22" i="56" s="1"/>
  <c r="L22" i="56" s="1"/>
  <c r="M22" i="56" s="1"/>
  <c r="I26" i="53"/>
  <c r="K26" i="53" s="1"/>
  <c r="L26" i="53" s="1"/>
  <c r="M26" i="53" s="1"/>
  <c r="I21" i="59"/>
  <c r="K21" i="59" s="1"/>
  <c r="L21" i="59" s="1"/>
  <c r="M21" i="59" s="1"/>
  <c r="I34" i="53"/>
  <c r="K34" i="53" s="1"/>
  <c r="L34" i="53" s="1"/>
  <c r="M34" i="53" s="1"/>
  <c r="I30" i="54"/>
  <c r="K30" i="54" s="1"/>
  <c r="L30" i="54" s="1"/>
  <c r="M30" i="54" s="1"/>
  <c r="I19" i="54"/>
  <c r="K19" i="54" s="1"/>
  <c r="L19" i="54" s="1"/>
  <c r="M19" i="54" s="1"/>
  <c r="I37" i="76"/>
  <c r="K37" i="76" s="1"/>
  <c r="L37" i="76" s="1"/>
  <c r="M37" i="76" s="1"/>
  <c r="I32" i="59"/>
  <c r="K32" i="59" s="1"/>
  <c r="L32" i="59" s="1"/>
  <c r="M32" i="59" s="1"/>
  <c r="I26" i="55"/>
  <c r="K26" i="55" s="1"/>
  <c r="L26" i="55" s="1"/>
  <c r="M26" i="55" s="1"/>
  <c r="I34" i="55"/>
  <c r="K34" i="55" s="1"/>
  <c r="L34" i="55" s="1"/>
  <c r="M34" i="55" s="1"/>
  <c r="I25" i="61"/>
  <c r="K25" i="61" s="1"/>
  <c r="L25" i="61" s="1"/>
  <c r="M25" i="61" s="1"/>
  <c r="I34" i="61"/>
  <c r="K34" i="61" s="1"/>
  <c r="L34" i="61" s="1"/>
  <c r="M34" i="61" s="1"/>
  <c r="I30" i="63"/>
  <c r="K30" i="63" s="1"/>
  <c r="L30" i="63" s="1"/>
  <c r="M30" i="63" s="1"/>
  <c r="I21" i="69"/>
  <c r="K21" i="69" s="1"/>
  <c r="L21" i="69" s="1"/>
  <c r="M21" i="69" s="1"/>
  <c r="I33" i="58"/>
  <c r="K33" i="58" s="1"/>
  <c r="L33" i="58" s="1"/>
  <c r="M33" i="58" s="1"/>
  <c r="I20" i="59"/>
  <c r="K20" i="59" s="1"/>
  <c r="L20" i="59" s="1"/>
  <c r="M20" i="59" s="1"/>
  <c r="I24" i="59"/>
  <c r="K24" i="59" s="1"/>
  <c r="L24" i="59" s="1"/>
  <c r="M24" i="59" s="1"/>
  <c r="I20" i="69"/>
  <c r="K20" i="69" s="1"/>
  <c r="L20" i="69" s="1"/>
  <c r="M20" i="69" s="1"/>
  <c r="I37" i="56"/>
  <c r="K37" i="56" s="1"/>
  <c r="L37" i="56" s="1"/>
  <c r="M37" i="56" s="1"/>
  <c r="I21" i="64"/>
  <c r="K21" i="64" s="1"/>
  <c r="L21" i="64" s="1"/>
  <c r="M21" i="64" s="1"/>
  <c r="I32" i="58"/>
  <c r="K32" i="58" s="1"/>
  <c r="L32" i="58" s="1"/>
  <c r="M32" i="58" s="1"/>
  <c r="I25" i="55"/>
  <c r="K25" i="55" s="1"/>
  <c r="L25" i="55" s="1"/>
  <c r="M25" i="55" s="1"/>
  <c r="I29" i="53"/>
  <c r="K29" i="53" s="1"/>
  <c r="L29" i="53" s="1"/>
  <c r="M29" i="53" s="1"/>
  <c r="I29" i="57"/>
  <c r="K29" i="57" s="1"/>
  <c r="L29" i="57" s="1"/>
  <c r="M29" i="57" s="1"/>
  <c r="I29" i="54"/>
  <c r="K29" i="54" s="1"/>
  <c r="L29" i="54" s="1"/>
  <c r="M29" i="54" s="1"/>
  <c r="I21" i="54"/>
  <c r="K21" i="54" s="1"/>
  <c r="L21" i="54" s="1"/>
  <c r="M21" i="54" s="1"/>
  <c r="I33" i="54"/>
  <c r="K33" i="54" s="1"/>
  <c r="L33" i="54" s="1"/>
  <c r="M33" i="54" s="1"/>
  <c r="I32" i="60"/>
  <c r="K32" i="60" s="1"/>
  <c r="L32" i="60" s="1"/>
  <c r="M32" i="60" s="1"/>
  <c r="I33" i="59"/>
  <c r="K33" i="59" s="1"/>
  <c r="L33" i="59" s="1"/>
  <c r="M33" i="59" s="1"/>
  <c r="I37" i="57"/>
  <c r="K37" i="57" s="1"/>
  <c r="L37" i="57" s="1"/>
  <c r="M37" i="57" s="1"/>
  <c r="I21" i="55"/>
  <c r="K21" i="55" s="1"/>
  <c r="L21" i="55" s="1"/>
  <c r="M21" i="55" s="1"/>
  <c r="I35" i="54"/>
  <c r="K35" i="54" s="1"/>
  <c r="L35" i="54" s="1"/>
  <c r="M35" i="54" s="1"/>
  <c r="I22" i="53"/>
  <c r="K22" i="53" s="1"/>
  <c r="L22" i="53" s="1"/>
  <c r="M22" i="53" s="1"/>
  <c r="I25" i="58"/>
  <c r="K25" i="58" s="1"/>
  <c r="L25" i="58" s="1"/>
  <c r="M25" i="58" s="1"/>
  <c r="I29" i="60"/>
  <c r="K29" i="60" s="1"/>
  <c r="L29" i="60" s="1"/>
  <c r="M29" i="60" s="1"/>
  <c r="I22" i="55"/>
  <c r="K22" i="55" s="1"/>
  <c r="L22" i="55" s="1"/>
  <c r="M22" i="55" s="1"/>
  <c r="I28" i="67"/>
  <c r="K28" i="67" s="1"/>
  <c r="L28" i="67" s="1"/>
  <c r="M28" i="67" s="1"/>
  <c r="I26" i="58"/>
  <c r="K26" i="58" s="1"/>
  <c r="L26" i="58" s="1"/>
  <c r="M26" i="58" s="1"/>
  <c r="I22" i="69"/>
  <c r="K22" i="69" s="1"/>
  <c r="L22" i="69" s="1"/>
  <c r="M22" i="69" s="1"/>
  <c r="I22" i="71"/>
  <c r="K22" i="71" s="1"/>
  <c r="L22" i="71" s="1"/>
  <c r="M22" i="71" s="1"/>
  <c r="I25" i="63"/>
  <c r="K25" i="63" s="1"/>
  <c r="L25" i="63" s="1"/>
  <c r="M25" i="63" s="1"/>
  <c r="I36" i="63"/>
  <c r="K36" i="63" s="1"/>
  <c r="L36" i="63" s="1"/>
  <c r="M36" i="63" s="1"/>
  <c r="I37" i="58"/>
  <c r="K37" i="58" s="1"/>
  <c r="L37" i="58" s="1"/>
  <c r="M37" i="58" s="1"/>
  <c r="I33" i="60"/>
  <c r="K33" i="60" s="1"/>
  <c r="L33" i="60" s="1"/>
  <c r="M33" i="60" s="1"/>
  <c r="I36" i="62"/>
  <c r="K36" i="62" s="1"/>
  <c r="L36" i="62" s="1"/>
  <c r="M36" i="62" s="1"/>
  <c r="I27" i="66"/>
  <c r="K27" i="66" s="1"/>
  <c r="L27" i="66" s="1"/>
  <c r="M27" i="66" s="1"/>
  <c r="I35" i="57"/>
  <c r="K35" i="57" s="1"/>
  <c r="L35" i="57" s="1"/>
  <c r="M35" i="57" s="1"/>
  <c r="I37" i="53"/>
  <c r="K37" i="53" s="1"/>
  <c r="L37" i="53" s="1"/>
  <c r="M37" i="53" s="1"/>
  <c r="I34" i="59"/>
  <c r="K34" i="59" s="1"/>
  <c r="L34" i="59" s="1"/>
  <c r="M34" i="59" s="1"/>
  <c r="I21" i="70"/>
  <c r="K21" i="70" s="1"/>
  <c r="L21" i="70" s="1"/>
  <c r="M21" i="70" s="1"/>
  <c r="I27" i="68"/>
  <c r="K27" i="68" s="1"/>
  <c r="L27" i="68" s="1"/>
  <c r="M27" i="68" s="1"/>
  <c r="I23" i="63"/>
  <c r="K23" i="63" s="1"/>
  <c r="L23" i="63" s="1"/>
  <c r="M23" i="63" s="1"/>
  <c r="I26" i="76"/>
  <c r="K26" i="76" s="1"/>
  <c r="L26" i="76" s="1"/>
  <c r="M26" i="76" s="1"/>
  <c r="I32" i="75"/>
  <c r="K32" i="75" s="1"/>
  <c r="L32" i="75" s="1"/>
  <c r="M32" i="75" s="1"/>
  <c r="I24" i="66"/>
  <c r="K24" i="66" s="1"/>
  <c r="L24" i="66" s="1"/>
  <c r="M24" i="66" s="1"/>
  <c r="I19" i="68"/>
  <c r="K19" i="68" s="1"/>
  <c r="L19" i="68" s="1"/>
  <c r="M19" i="68" s="1"/>
  <c r="I29" i="66"/>
  <c r="K29" i="66" s="1"/>
  <c r="L29" i="66" s="1"/>
  <c r="M29" i="66" s="1"/>
  <c r="I26" i="68"/>
  <c r="K26" i="68" s="1"/>
  <c r="L26" i="68" s="1"/>
  <c r="M26" i="68" s="1"/>
  <c r="I33" i="53"/>
  <c r="K33" i="53" s="1"/>
  <c r="L33" i="53" s="1"/>
  <c r="M33" i="53" s="1"/>
  <c r="I20" i="60"/>
  <c r="K20" i="60" s="1"/>
  <c r="L20" i="60" s="1"/>
  <c r="M20" i="60" s="1"/>
  <c r="I35" i="55"/>
  <c r="K35" i="55" s="1"/>
  <c r="L35" i="55" s="1"/>
  <c r="M35" i="55" s="1"/>
  <c r="I21" i="61"/>
  <c r="K21" i="61" s="1"/>
  <c r="L21" i="61" s="1"/>
  <c r="M21" i="61" s="1"/>
  <c r="I37" i="59"/>
  <c r="K37" i="59" s="1"/>
  <c r="L37" i="59" s="1"/>
  <c r="M37" i="59" s="1"/>
  <c r="I23" i="60"/>
  <c r="K23" i="60" s="1"/>
  <c r="L23" i="60" s="1"/>
  <c r="M23" i="60" s="1"/>
  <c r="I35" i="61"/>
  <c r="K35" i="61" s="1"/>
  <c r="L35" i="61" s="1"/>
  <c r="M35" i="61" s="1"/>
  <c r="I36" i="71"/>
  <c r="K36" i="71" s="1"/>
  <c r="L36" i="71" s="1"/>
  <c r="M36" i="71" s="1"/>
  <c r="I21" i="71"/>
  <c r="K21" i="71" s="1"/>
  <c r="L21" i="71" s="1"/>
  <c r="M21" i="71" s="1"/>
  <c r="I37" i="62"/>
  <c r="K37" i="62" s="1"/>
  <c r="L37" i="62" s="1"/>
  <c r="M37" i="62" s="1"/>
  <c r="I34" i="66"/>
  <c r="K34" i="66" s="1"/>
  <c r="L34" i="66" s="1"/>
  <c r="M34" i="66" s="1"/>
  <c r="I28" i="61"/>
  <c r="K28" i="61" s="1"/>
  <c r="L28" i="61" s="1"/>
  <c r="M28" i="61" s="1"/>
  <c r="I35" i="71"/>
  <c r="K35" i="71" s="1"/>
  <c r="L35" i="71" s="1"/>
  <c r="M35" i="71" s="1"/>
  <c r="I32" i="56"/>
  <c r="K32" i="56" s="1"/>
  <c r="L32" i="56" s="1"/>
  <c r="M32" i="56" s="1"/>
  <c r="I29" i="67"/>
  <c r="K29" i="67" s="1"/>
  <c r="L29" i="67" s="1"/>
  <c r="M29" i="67" s="1"/>
  <c r="I34" i="76"/>
  <c r="K34" i="76" s="1"/>
  <c r="L34" i="76" s="1"/>
  <c r="M34" i="76" s="1"/>
  <c r="I36" i="76"/>
  <c r="K36" i="76" s="1"/>
  <c r="L36" i="76" s="1"/>
  <c r="M36" i="76" s="1"/>
  <c r="I24" i="76"/>
  <c r="K24" i="76" s="1"/>
  <c r="L24" i="76" s="1"/>
  <c r="M24" i="76" s="1"/>
  <c r="I34" i="56"/>
  <c r="K34" i="56" s="1"/>
  <c r="L34" i="56" s="1"/>
  <c r="M34" i="56" s="1"/>
  <c r="I32" i="54"/>
  <c r="K32" i="54" s="1"/>
  <c r="L32" i="54" s="1"/>
  <c r="M32" i="54" s="1"/>
  <c r="I30" i="57"/>
  <c r="K30" i="57" s="1"/>
  <c r="L30" i="57" s="1"/>
  <c r="M30" i="57" s="1"/>
  <c r="I31" i="62"/>
  <c r="K31" i="62" s="1"/>
  <c r="L31" i="62" s="1"/>
  <c r="M31" i="62" s="1"/>
  <c r="I29" i="55"/>
  <c r="K29" i="55" s="1"/>
  <c r="L29" i="55" s="1"/>
  <c r="M29" i="55" s="1"/>
  <c r="I36" i="55"/>
  <c r="K36" i="55" s="1"/>
  <c r="L36" i="55" s="1"/>
  <c r="M36" i="55" s="1"/>
  <c r="I35" i="53"/>
  <c r="K35" i="53" s="1"/>
  <c r="L35" i="53" s="1"/>
  <c r="M35" i="53" s="1"/>
  <c r="I19" i="57"/>
  <c r="K19" i="57" s="1"/>
  <c r="L19" i="57" s="1"/>
  <c r="M19" i="57" s="1"/>
  <c r="I24" i="55"/>
  <c r="K24" i="55" s="1"/>
  <c r="L24" i="55" s="1"/>
  <c r="M24" i="55" s="1"/>
  <c r="I26" i="60"/>
  <c r="K26" i="60" s="1"/>
  <c r="L26" i="60" s="1"/>
  <c r="M26" i="60" s="1"/>
  <c r="I28" i="62"/>
  <c r="K28" i="62" s="1"/>
  <c r="L28" i="62" s="1"/>
  <c r="M28" i="62" s="1"/>
  <c r="I22" i="64"/>
  <c r="K22" i="64" s="1"/>
  <c r="L22" i="64" s="1"/>
  <c r="M22" i="64" s="1"/>
  <c r="I27" i="70"/>
  <c r="K27" i="70" s="1"/>
  <c r="L27" i="70" s="1"/>
  <c r="M27" i="70" s="1"/>
  <c r="I31" i="64"/>
  <c r="K31" i="64" s="1"/>
  <c r="L31" i="64" s="1"/>
  <c r="M31" i="64" s="1"/>
  <c r="I31" i="55"/>
  <c r="K31" i="55" s="1"/>
  <c r="L31" i="55" s="1"/>
  <c r="M31" i="55" s="1"/>
  <c r="I21" i="53"/>
  <c r="K21" i="53" s="1"/>
  <c r="L21" i="53" s="1"/>
  <c r="M21" i="53" s="1"/>
  <c r="I29" i="59"/>
  <c r="K29" i="59" s="1"/>
  <c r="L29" i="59" s="1"/>
  <c r="M29" i="59" s="1"/>
  <c r="I24" i="58"/>
  <c r="K24" i="58" s="1"/>
  <c r="L24" i="58" s="1"/>
  <c r="M24" i="58" s="1"/>
  <c r="I22" i="59"/>
  <c r="K22" i="59" s="1"/>
  <c r="L22" i="59" s="1"/>
  <c r="M22" i="59" s="1"/>
  <c r="I34" i="60"/>
  <c r="K34" i="60" s="1"/>
  <c r="L34" i="60" s="1"/>
  <c r="M34" i="60" s="1"/>
  <c r="I28" i="58"/>
  <c r="K28" i="58" s="1"/>
  <c r="L28" i="58" s="1"/>
  <c r="M28" i="58" s="1"/>
  <c r="I28" i="59"/>
  <c r="K28" i="59" s="1"/>
  <c r="L28" i="59" s="1"/>
  <c r="M28" i="59" s="1"/>
  <c r="I37" i="61"/>
  <c r="K37" i="61" s="1"/>
  <c r="L37" i="61" s="1"/>
  <c r="M37" i="61" s="1"/>
  <c r="I23" i="70"/>
  <c r="K23" i="70" s="1"/>
  <c r="L23" i="70" s="1"/>
  <c r="M23" i="70" s="1"/>
  <c r="I37" i="64"/>
  <c r="K37" i="64" s="1"/>
  <c r="L37" i="64" s="1"/>
  <c r="M37" i="64" s="1"/>
  <c r="I25" i="71"/>
  <c r="K25" i="71" s="1"/>
  <c r="L25" i="71" s="1"/>
  <c r="M25" i="71" s="1"/>
  <c r="I35" i="63"/>
  <c r="K35" i="63" s="1"/>
  <c r="L35" i="63" s="1"/>
  <c r="M35" i="63" s="1"/>
  <c r="I22" i="76"/>
  <c r="K22" i="76" s="1"/>
  <c r="L22" i="76" s="1"/>
  <c r="M22" i="76" s="1"/>
  <c r="I19" i="61"/>
  <c r="K19" i="61" s="1"/>
  <c r="L19" i="61" s="1"/>
  <c r="M19" i="61" s="1"/>
  <c r="I35" i="70"/>
  <c r="K35" i="70" s="1"/>
  <c r="L35" i="70" s="1"/>
  <c r="M35" i="70" s="1"/>
  <c r="I36" i="68"/>
  <c r="K36" i="68" s="1"/>
  <c r="L36" i="68" s="1"/>
  <c r="M36" i="68" s="1"/>
  <c r="I37" i="65"/>
  <c r="K37" i="65" s="1"/>
  <c r="L37" i="65" s="1"/>
  <c r="M37" i="65" s="1"/>
  <c r="I21" i="75"/>
  <c r="K21" i="75" s="1"/>
  <c r="L21" i="75" s="1"/>
  <c r="M21" i="75" s="1"/>
  <c r="I33" i="64"/>
  <c r="K33" i="64" s="1"/>
  <c r="L33" i="64" s="1"/>
  <c r="M33" i="64" s="1"/>
  <c r="I31" i="63"/>
  <c r="K31" i="63" s="1"/>
  <c r="L31" i="63" s="1"/>
  <c r="M31" i="63" s="1"/>
  <c r="I27" i="71"/>
  <c r="K27" i="71" s="1"/>
  <c r="L27" i="71" s="1"/>
  <c r="M27" i="71" s="1"/>
  <c r="I25" i="67"/>
  <c r="K25" i="67" s="1"/>
  <c r="L25" i="67" s="1"/>
  <c r="M25" i="67" s="1"/>
  <c r="I21" i="63"/>
  <c r="K21" i="63" s="1"/>
  <c r="L21" i="63" s="1"/>
  <c r="M21" i="63" s="1"/>
  <c r="I20" i="67"/>
  <c r="K20" i="67" s="1"/>
  <c r="L20" i="67" s="1"/>
  <c r="M20" i="67" s="1"/>
  <c r="I28" i="64"/>
  <c r="K28" i="64" s="1"/>
  <c r="L28" i="64" s="1"/>
  <c r="M28" i="64" s="1"/>
  <c r="I20" i="56"/>
  <c r="K20" i="56" s="1"/>
  <c r="L20" i="56" s="1"/>
  <c r="M20" i="56" s="1"/>
  <c r="I31" i="56"/>
  <c r="K31" i="56" s="1"/>
  <c r="L31" i="56" s="1"/>
  <c r="M31" i="56" s="1"/>
  <c r="I27" i="61"/>
  <c r="K27" i="61" s="1"/>
  <c r="L27" i="61" s="1"/>
  <c r="M27" i="61" s="1"/>
  <c r="I33" i="71"/>
  <c r="K33" i="71" s="1"/>
  <c r="L33" i="71" s="1"/>
  <c r="M33" i="71" s="1"/>
  <c r="I34" i="71"/>
  <c r="K34" i="71" s="1"/>
  <c r="L34" i="71" s="1"/>
  <c r="M34" i="71" s="1"/>
  <c r="I23" i="69"/>
  <c r="K23" i="69" s="1"/>
  <c r="L23" i="69" s="1"/>
  <c r="M23" i="69" s="1"/>
  <c r="I34" i="68"/>
  <c r="K34" i="68" s="1"/>
  <c r="L34" i="68" s="1"/>
  <c r="M34" i="68" s="1"/>
  <c r="I32" i="64"/>
  <c r="K32" i="64" s="1"/>
  <c r="L32" i="64" s="1"/>
  <c r="M32" i="64" s="1"/>
  <c r="I33" i="76"/>
  <c r="K33" i="76" s="1"/>
  <c r="L33" i="76" s="1"/>
  <c r="M33" i="76" s="1"/>
  <c r="I20" i="62"/>
  <c r="K20" i="62" s="1"/>
  <c r="L20" i="62" s="1"/>
  <c r="M20" i="62" s="1"/>
  <c r="I24" i="62"/>
  <c r="K24" i="62" s="1"/>
  <c r="L24" i="62" s="1"/>
  <c r="M24" i="62" s="1"/>
  <c r="I27" i="64"/>
  <c r="K27" i="64" s="1"/>
  <c r="L27" i="64" s="1"/>
  <c r="M27" i="64" s="1"/>
  <c r="I23" i="71"/>
  <c r="K23" i="71" s="1"/>
  <c r="L23" i="71" s="1"/>
  <c r="M23" i="71" s="1"/>
  <c r="I31" i="68"/>
  <c r="K31" i="68" s="1"/>
  <c r="L31" i="68" s="1"/>
  <c r="M31" i="68" s="1"/>
  <c r="I37" i="67"/>
  <c r="K37" i="67" s="1"/>
  <c r="L37" i="67" s="1"/>
  <c r="M37" i="67" s="1"/>
  <c r="I26" i="65"/>
  <c r="K26" i="65" s="1"/>
  <c r="L26" i="65" s="1"/>
  <c r="M26" i="65" s="1"/>
  <c r="I28" i="66"/>
  <c r="K28" i="66" s="1"/>
  <c r="L28" i="66" s="1"/>
  <c r="M28" i="66" s="1"/>
  <c r="I37" i="70"/>
  <c r="K37" i="70" s="1"/>
  <c r="L37" i="70" s="1"/>
  <c r="M37" i="70" s="1"/>
  <c r="I20" i="63"/>
  <c r="K20" i="63" s="1"/>
  <c r="L20" i="63" s="1"/>
  <c r="M20" i="63" s="1"/>
  <c r="I32" i="76"/>
  <c r="K32" i="76" s="1"/>
  <c r="L32" i="76" s="1"/>
  <c r="M32" i="76" s="1"/>
  <c r="I23" i="76"/>
  <c r="K23" i="76" s="1"/>
  <c r="L23" i="76" s="1"/>
  <c r="M23" i="76" s="1"/>
  <c r="I27" i="60"/>
  <c r="K27" i="60" s="1"/>
  <c r="L27" i="60" s="1"/>
  <c r="M27" i="60" s="1"/>
  <c r="I34" i="54"/>
  <c r="K34" i="54" s="1"/>
  <c r="L34" i="54" s="1"/>
  <c r="M34" i="54" s="1"/>
  <c r="I27" i="53"/>
  <c r="K27" i="53" s="1"/>
  <c r="L27" i="53" s="1"/>
  <c r="M27" i="53" s="1"/>
  <c r="I24" i="53"/>
  <c r="K24" i="53" s="1"/>
  <c r="L24" i="53" s="1"/>
  <c r="M24" i="53" s="1"/>
  <c r="I28" i="55"/>
  <c r="K28" i="55" s="1"/>
  <c r="L28" i="55" s="1"/>
  <c r="M28" i="55" s="1"/>
  <c r="I29" i="70"/>
  <c r="K29" i="70" s="1"/>
  <c r="L29" i="70" s="1"/>
  <c r="M29" i="70" s="1"/>
  <c r="I19" i="67"/>
  <c r="K19" i="67" s="1"/>
  <c r="L19" i="67" s="1"/>
  <c r="M19" i="67" s="1"/>
  <c r="I31" i="58"/>
  <c r="K31" i="58" s="1"/>
  <c r="L31" i="58" s="1"/>
  <c r="M31" i="58" s="1"/>
  <c r="I32" i="53"/>
  <c r="K32" i="53" s="1"/>
  <c r="L32" i="53" s="1"/>
  <c r="M32" i="53" s="1"/>
  <c r="I19" i="58"/>
  <c r="K19" i="58" s="1"/>
  <c r="L19" i="58" s="1"/>
  <c r="M19" i="58" s="1"/>
  <c r="I22" i="58"/>
  <c r="K22" i="58" s="1"/>
  <c r="L22" i="58" s="1"/>
  <c r="M22" i="58" s="1"/>
  <c r="I23" i="59"/>
  <c r="K23" i="59" s="1"/>
  <c r="L23" i="59" s="1"/>
  <c r="M23" i="59" s="1"/>
  <c r="I23" i="64"/>
  <c r="K23" i="64" s="1"/>
  <c r="L23" i="64" s="1"/>
  <c r="M23" i="64" s="1"/>
  <c r="I26" i="71"/>
  <c r="K26" i="71" s="1"/>
  <c r="L26" i="71" s="1"/>
  <c r="M26" i="71" s="1"/>
  <c r="I36" i="69"/>
  <c r="K36" i="69" s="1"/>
  <c r="L36" i="69" s="1"/>
  <c r="M36" i="69" s="1"/>
  <c r="I34" i="70"/>
  <c r="K34" i="70" s="1"/>
  <c r="L34" i="70" s="1"/>
  <c r="M34" i="70" s="1"/>
  <c r="I21" i="65"/>
  <c r="K21" i="65" s="1"/>
  <c r="L21" i="65" s="1"/>
  <c r="M21" i="65" s="1"/>
  <c r="I28" i="56"/>
  <c r="K28" i="56" s="1"/>
  <c r="L28" i="56" s="1"/>
  <c r="M28" i="56" s="1"/>
  <c r="I20" i="61"/>
  <c r="K20" i="61" s="1"/>
  <c r="L20" i="61" s="1"/>
  <c r="M20" i="61" s="1"/>
  <c r="I37" i="66"/>
  <c r="K37" i="66" s="1"/>
  <c r="L37" i="66" s="1"/>
  <c r="M37" i="66" s="1"/>
  <c r="I23" i="66"/>
  <c r="K23" i="66" s="1"/>
  <c r="L23" i="66" s="1"/>
  <c r="M23" i="66" s="1"/>
  <c r="I19" i="70"/>
  <c r="K19" i="70" s="1"/>
  <c r="L19" i="70" s="1"/>
  <c r="M19" i="70" s="1"/>
  <c r="I32" i="69"/>
  <c r="K32" i="69" s="1"/>
  <c r="L32" i="69" s="1"/>
  <c r="M32" i="69" s="1"/>
  <c r="I25" i="66"/>
  <c r="K25" i="66" s="1"/>
  <c r="L25" i="66" s="1"/>
  <c r="M25" i="66" s="1"/>
  <c r="I34" i="67"/>
  <c r="K34" i="67" s="1"/>
  <c r="L34" i="67" s="1"/>
  <c r="M34" i="67" s="1"/>
  <c r="I19" i="75"/>
  <c r="K19" i="75" s="1"/>
  <c r="L19" i="75" s="1"/>
  <c r="M19" i="75" s="1"/>
  <c r="I22" i="65"/>
  <c r="K22" i="65" s="1"/>
  <c r="L22" i="65" s="1"/>
  <c r="M22" i="65" s="1"/>
  <c r="I35" i="65"/>
  <c r="K35" i="65" s="1"/>
  <c r="L35" i="65" s="1"/>
  <c r="M35" i="65" s="1"/>
  <c r="I33" i="75"/>
  <c r="K33" i="75" s="1"/>
  <c r="L33" i="75" s="1"/>
  <c r="M33" i="75" s="1"/>
  <c r="I27" i="63"/>
  <c r="K27" i="63" s="1"/>
  <c r="L27" i="63" s="1"/>
  <c r="M27" i="63" s="1"/>
  <c r="I25" i="75"/>
  <c r="K25" i="75" s="1"/>
  <c r="L25" i="75" s="1"/>
  <c r="M25" i="75" s="1"/>
  <c r="I19" i="66"/>
  <c r="K19" i="66" s="1"/>
  <c r="L19" i="66" s="1"/>
  <c r="M19" i="66" s="1"/>
  <c r="I29" i="69"/>
  <c r="K29" i="69" s="1"/>
  <c r="L29" i="69" s="1"/>
  <c r="M29" i="69" s="1"/>
  <c r="I28" i="69"/>
  <c r="K28" i="69" s="1"/>
  <c r="L28" i="69" s="1"/>
  <c r="M28" i="69" s="1"/>
  <c r="I33" i="69"/>
  <c r="K33" i="69" s="1"/>
  <c r="L33" i="69" s="1"/>
  <c r="M33" i="69" s="1"/>
  <c r="I26" i="69"/>
  <c r="K26" i="69" s="1"/>
  <c r="L26" i="69" s="1"/>
  <c r="M26" i="69" s="1"/>
  <c r="I27" i="67"/>
  <c r="K27" i="67" s="1"/>
  <c r="L27" i="67" s="1"/>
  <c r="M27" i="67" s="1"/>
  <c r="I23" i="68"/>
  <c r="K23" i="68" s="1"/>
  <c r="L23" i="68" s="1"/>
  <c r="M23" i="68" s="1"/>
  <c r="I25" i="64"/>
  <c r="K25" i="64" s="1"/>
  <c r="L25" i="64" s="1"/>
  <c r="M25" i="64" s="1"/>
  <c r="I29" i="75"/>
  <c r="K29" i="75" s="1"/>
  <c r="L29" i="75" s="1"/>
  <c r="M29" i="75" s="1"/>
  <c r="I25" i="62"/>
  <c r="K25" i="62" s="1"/>
  <c r="L25" i="62" s="1"/>
  <c r="M25" i="62" s="1"/>
  <c r="I29" i="62"/>
  <c r="K29" i="62" s="1"/>
  <c r="L29" i="62" s="1"/>
  <c r="M29" i="62" s="1"/>
  <c r="I20" i="66"/>
  <c r="K20" i="66" s="1"/>
  <c r="L20" i="66" s="1"/>
  <c r="M20" i="66" s="1"/>
  <c r="I36" i="64"/>
  <c r="K36" i="64" s="1"/>
  <c r="L36" i="64" s="1"/>
  <c r="M36" i="64" s="1"/>
  <c r="I34" i="63"/>
  <c r="K34" i="63" s="1"/>
  <c r="L34" i="63" s="1"/>
  <c r="M34" i="63" s="1"/>
  <c r="I31" i="75"/>
  <c r="K31" i="75" s="1"/>
  <c r="L31" i="75" s="1"/>
  <c r="M31" i="75" s="1"/>
  <c r="I28" i="70"/>
  <c r="K28" i="70" s="1"/>
  <c r="L28" i="70" s="1"/>
  <c r="M28" i="70" s="1"/>
  <c r="I37" i="60"/>
  <c r="K37" i="60" s="1"/>
  <c r="L37" i="60" s="1"/>
  <c r="M37" i="60" s="1"/>
  <c r="I21" i="58"/>
  <c r="K21" i="58" s="1"/>
  <c r="L21" i="58" s="1"/>
  <c r="M21" i="58" s="1"/>
  <c r="I36" i="57"/>
  <c r="K36" i="57" s="1"/>
  <c r="L36" i="57" s="1"/>
  <c r="M36" i="57" s="1"/>
  <c r="I32" i="66"/>
  <c r="K32" i="66" s="1"/>
  <c r="L32" i="66" s="1"/>
  <c r="M32" i="66" s="1"/>
  <c r="I28" i="71"/>
  <c r="K28" i="71" s="1"/>
  <c r="L28" i="71" s="1"/>
  <c r="M28" i="71" s="1"/>
  <c r="I23" i="75"/>
  <c r="K23" i="75" s="1"/>
  <c r="L23" i="75" s="1"/>
  <c r="M23" i="75" s="1"/>
  <c r="I30" i="75"/>
  <c r="K30" i="75" s="1"/>
  <c r="L30" i="75" s="1"/>
  <c r="M30" i="75" s="1"/>
  <c r="I23" i="55"/>
  <c r="K23" i="55" s="1"/>
  <c r="L23" i="55" s="1"/>
  <c r="M23" i="55" s="1"/>
  <c r="I28" i="57"/>
  <c r="K28" i="57" s="1"/>
  <c r="L28" i="57" s="1"/>
  <c r="M28" i="57" s="1"/>
  <c r="I28" i="54"/>
  <c r="K28" i="54" s="1"/>
  <c r="L28" i="54" s="1"/>
  <c r="M28" i="54" s="1"/>
  <c r="I31" i="60"/>
  <c r="K31" i="60" s="1"/>
  <c r="L31" i="60" s="1"/>
  <c r="M31" i="60" s="1"/>
  <c r="I27" i="57"/>
  <c r="K27" i="57" s="1"/>
  <c r="L27" i="57" s="1"/>
  <c r="M27" i="57" s="1"/>
  <c r="I30" i="61"/>
  <c r="K30" i="61" s="1"/>
  <c r="L30" i="61" s="1"/>
  <c r="M30" i="61" s="1"/>
  <c r="I33" i="65"/>
  <c r="K33" i="65" s="1"/>
  <c r="L33" i="65" s="1"/>
  <c r="M33" i="65" s="1"/>
  <c r="I36" i="61"/>
  <c r="K36" i="61" s="1"/>
  <c r="L36" i="61" s="1"/>
  <c r="M36" i="61" s="1"/>
  <c r="I34" i="62"/>
  <c r="K34" i="62" s="1"/>
  <c r="L34" i="62" s="1"/>
  <c r="M34" i="62" s="1"/>
  <c r="I31" i="69"/>
  <c r="K31" i="69" s="1"/>
  <c r="L31" i="69" s="1"/>
  <c r="M31" i="69" s="1"/>
  <c r="I24" i="71"/>
  <c r="K24" i="71" s="1"/>
  <c r="L24" i="71" s="1"/>
  <c r="M24" i="71" s="1"/>
  <c r="I36" i="65"/>
  <c r="K36" i="65" s="1"/>
  <c r="L36" i="65" s="1"/>
  <c r="M36" i="65" s="1"/>
  <c r="I23" i="67"/>
  <c r="K23" i="67" s="1"/>
  <c r="L23" i="67" s="1"/>
  <c r="M23" i="67" s="1"/>
  <c r="I22" i="75"/>
  <c r="K22" i="75" s="1"/>
  <c r="L22" i="75" s="1"/>
  <c r="M22" i="75" s="1"/>
  <c r="I30" i="71"/>
  <c r="K30" i="71" s="1"/>
  <c r="L30" i="71" s="1"/>
  <c r="M30" i="71" s="1"/>
  <c r="I37" i="63"/>
  <c r="K37" i="63" s="1"/>
  <c r="L37" i="63" s="1"/>
  <c r="M37" i="63" s="1"/>
  <c r="I32" i="68"/>
  <c r="K32" i="68" s="1"/>
  <c r="L32" i="68" s="1"/>
  <c r="M32" i="68" s="1"/>
  <c r="I30" i="66"/>
  <c r="K30" i="66" s="1"/>
  <c r="L30" i="66" s="1"/>
  <c r="M30" i="66" s="1"/>
  <c r="I32" i="67"/>
  <c r="K32" i="67" s="1"/>
  <c r="L32" i="67" s="1"/>
  <c r="M32" i="67" s="1"/>
  <c r="I34" i="75"/>
  <c r="K34" i="75" s="1"/>
  <c r="L34" i="75" s="1"/>
  <c r="M34" i="75" s="1"/>
  <c r="I33" i="63"/>
  <c r="K33" i="63" s="1"/>
  <c r="L33" i="63" s="1"/>
  <c r="M33" i="63" s="1"/>
  <c r="I35" i="62"/>
  <c r="K35" i="62" s="1"/>
  <c r="L35" i="62" s="1"/>
  <c r="M35" i="62" s="1"/>
  <c r="I30" i="68"/>
  <c r="K30" i="68" s="1"/>
  <c r="L30" i="68" s="1"/>
  <c r="M30" i="68" s="1"/>
  <c r="I31" i="66"/>
  <c r="K31" i="66" s="1"/>
  <c r="L31" i="66" s="1"/>
  <c r="M31" i="66" s="1"/>
  <c r="I29" i="64"/>
  <c r="K29" i="64" s="1"/>
  <c r="L29" i="64" s="1"/>
  <c r="M29" i="64" s="1"/>
  <c r="I25" i="65"/>
  <c r="K25" i="65" s="1"/>
  <c r="L25" i="65" s="1"/>
  <c r="M25" i="65" s="1"/>
  <c r="I32" i="62"/>
  <c r="K32" i="62" s="1"/>
  <c r="L32" i="62" s="1"/>
  <c r="M32" i="62" s="1"/>
  <c r="I30" i="62"/>
  <c r="K30" i="62" s="1"/>
  <c r="L30" i="62" s="1"/>
  <c r="M30" i="62" s="1"/>
  <c r="I26" i="63"/>
  <c r="K26" i="63" s="1"/>
  <c r="L26" i="63" s="1"/>
  <c r="M26" i="63" s="1"/>
  <c r="I31" i="71"/>
  <c r="K31" i="71" s="1"/>
  <c r="L31" i="71" s="1"/>
  <c r="M31" i="71" s="1"/>
  <c r="I30" i="59"/>
  <c r="K30" i="59" s="1"/>
  <c r="L30" i="59" s="1"/>
  <c r="M30" i="59" s="1"/>
  <c r="I22" i="57"/>
  <c r="K22" i="57" s="1"/>
  <c r="L22" i="57" s="1"/>
  <c r="M22" i="57" s="1"/>
  <c r="I31" i="53"/>
  <c r="K31" i="53" s="1"/>
  <c r="L31" i="53" s="1"/>
  <c r="M31" i="53" s="1"/>
  <c r="I28" i="53"/>
  <c r="K28" i="53" s="1"/>
  <c r="L28" i="53" s="1"/>
  <c r="M28" i="53" s="1"/>
  <c r="I21" i="56"/>
  <c r="K21" i="56" s="1"/>
  <c r="L21" i="56" s="1"/>
  <c r="M21" i="56" s="1"/>
  <c r="I22" i="61"/>
  <c r="K22" i="61" s="1"/>
  <c r="L22" i="61" s="1"/>
  <c r="M22" i="61" s="1"/>
  <c r="I27" i="59"/>
  <c r="K27" i="59" s="1"/>
  <c r="L27" i="59" s="1"/>
  <c r="M27" i="59" s="1"/>
  <c r="I25" i="57"/>
  <c r="K25" i="57" s="1"/>
  <c r="L25" i="57" s="1"/>
  <c r="M25" i="57" s="1"/>
  <c r="I32" i="55"/>
  <c r="K32" i="55" s="1"/>
  <c r="L32" i="55" s="1"/>
  <c r="M32" i="55" s="1"/>
  <c r="I36" i="54"/>
  <c r="K36" i="54" s="1"/>
  <c r="L36" i="54" s="1"/>
  <c r="M36" i="54" s="1"/>
  <c r="I26" i="56"/>
  <c r="K26" i="56" s="1"/>
  <c r="L26" i="56" s="1"/>
  <c r="M26" i="56" s="1"/>
  <c r="I23" i="54"/>
  <c r="K23" i="54" s="1"/>
  <c r="L23" i="54" s="1"/>
  <c r="M23" i="54" s="1"/>
  <c r="I35" i="59"/>
  <c r="K35" i="59" s="1"/>
  <c r="L35" i="59" s="1"/>
  <c r="M35" i="59" s="1"/>
  <c r="I30" i="69"/>
  <c r="K30" i="69" s="1"/>
  <c r="L30" i="69" s="1"/>
  <c r="M30" i="69" s="1"/>
  <c r="I31" i="61"/>
  <c r="K31" i="61" s="1"/>
  <c r="L31" i="61" s="1"/>
  <c r="M31" i="61" s="1"/>
  <c r="I24" i="64"/>
  <c r="K24" i="64" s="1"/>
  <c r="L24" i="64" s="1"/>
  <c r="M24" i="64" s="1"/>
  <c r="I24" i="75"/>
  <c r="K24" i="75" s="1"/>
  <c r="L24" i="75" s="1"/>
  <c r="M24" i="75" s="1"/>
  <c r="I35" i="56"/>
  <c r="K35" i="56" s="1"/>
  <c r="L35" i="56" s="1"/>
  <c r="M35" i="56" s="1"/>
  <c r="I24" i="65"/>
  <c r="K24" i="65" s="1"/>
  <c r="L24" i="65" s="1"/>
  <c r="M24" i="65" s="1"/>
  <c r="I30" i="67"/>
  <c r="K30" i="67" s="1"/>
  <c r="L30" i="67" s="1"/>
  <c r="M30" i="67" s="1"/>
  <c r="I25" i="70"/>
  <c r="K25" i="70" s="1"/>
  <c r="L25" i="70" s="1"/>
  <c r="M25" i="70" s="1"/>
  <c r="I28" i="68"/>
  <c r="K28" i="68" s="1"/>
  <c r="L28" i="68" s="1"/>
  <c r="M28" i="68" s="1"/>
  <c r="I29" i="65"/>
  <c r="K29" i="65" s="1"/>
  <c r="L29" i="65" s="1"/>
  <c r="M29" i="65" s="1"/>
  <c r="I33" i="62"/>
  <c r="K33" i="62" s="1"/>
  <c r="L33" i="62" s="1"/>
  <c r="M33" i="62" s="1"/>
  <c r="I22" i="62"/>
  <c r="K22" i="62" s="1"/>
  <c r="L22" i="62" s="1"/>
  <c r="M22" i="62" s="1"/>
  <c r="I27" i="75"/>
  <c r="K27" i="75" s="1"/>
  <c r="L27" i="75" s="1"/>
  <c r="M27" i="75" s="1"/>
  <c r="I29" i="71"/>
  <c r="K29" i="71" s="1"/>
  <c r="L29" i="71" s="1"/>
  <c r="M29" i="71" s="1"/>
  <c r="I37" i="68"/>
  <c r="K37" i="68" s="1"/>
  <c r="L37" i="68" s="1"/>
  <c r="M37" i="68" s="1"/>
  <c r="I36" i="56"/>
  <c r="K36" i="56" s="1"/>
  <c r="L36" i="56" s="1"/>
  <c r="M36" i="56" s="1"/>
  <c r="I32" i="61"/>
  <c r="K32" i="61" s="1"/>
  <c r="L32" i="61" s="1"/>
  <c r="M32" i="61" s="1"/>
  <c r="I37" i="69"/>
  <c r="K37" i="69" s="1"/>
  <c r="L37" i="69" s="1"/>
  <c r="M37" i="69" s="1"/>
  <c r="I21" i="67"/>
  <c r="K21" i="67" s="1"/>
  <c r="L21" i="67" s="1"/>
  <c r="M21" i="67" s="1"/>
  <c r="I28" i="65"/>
  <c r="K28" i="65" s="1"/>
  <c r="L28" i="65" s="1"/>
  <c r="M28" i="65" s="1"/>
  <c r="I24" i="63"/>
  <c r="K24" i="63" s="1"/>
  <c r="L24" i="63" s="1"/>
  <c r="M24" i="63" s="1"/>
  <c r="I20" i="75"/>
  <c r="K20" i="75" s="1"/>
  <c r="L20" i="75" s="1"/>
  <c r="M20" i="75" s="1"/>
  <c r="I33" i="67"/>
  <c r="K33" i="67" s="1"/>
  <c r="L33" i="67" s="1"/>
  <c r="M33" i="67" s="1"/>
  <c r="I22" i="66"/>
  <c r="K22" i="66" s="1"/>
  <c r="L22" i="66" s="1"/>
  <c r="M22" i="66" s="1"/>
  <c r="I31" i="67"/>
  <c r="K31" i="67" s="1"/>
  <c r="L31" i="67" s="1"/>
  <c r="M31" i="67" s="1"/>
  <c r="I24" i="67"/>
  <c r="K24" i="67" s="1"/>
  <c r="L24" i="67" s="1"/>
  <c r="M24" i="67" s="1"/>
  <c r="I30" i="65"/>
  <c r="K30" i="65" s="1"/>
  <c r="L30" i="65" s="1"/>
  <c r="M30" i="65" s="1"/>
  <c r="I21" i="62"/>
  <c r="K21" i="62" s="1"/>
  <c r="L21" i="62" s="1"/>
  <c r="M21" i="62" s="1"/>
  <c r="I29" i="63"/>
  <c r="K29" i="63" s="1"/>
  <c r="L29" i="63" s="1"/>
  <c r="M29" i="63" s="1"/>
  <c r="I26" i="75"/>
  <c r="K26" i="75" s="1"/>
  <c r="L26" i="75" s="1"/>
  <c r="M26" i="75" s="1"/>
  <c r="I19" i="63"/>
  <c r="K19" i="63" s="1"/>
  <c r="L19" i="63" s="1"/>
  <c r="M19" i="63" s="1"/>
  <c r="I27" i="76"/>
  <c r="K27" i="76" s="1"/>
  <c r="L27" i="76" s="1"/>
  <c r="M27" i="76" s="1"/>
  <c r="I28" i="76"/>
  <c r="K28" i="76" s="1"/>
  <c r="L28" i="76" s="1"/>
  <c r="M28" i="76" s="1"/>
  <c r="I36" i="58"/>
  <c r="K36" i="58" s="1"/>
  <c r="L36" i="58" s="1"/>
  <c r="M36" i="58" s="1"/>
  <c r="I32" i="57"/>
  <c r="K32" i="57" s="1"/>
  <c r="L32" i="57" s="1"/>
  <c r="M32" i="57" s="1"/>
  <c r="I27" i="55"/>
  <c r="K27" i="55" s="1"/>
  <c r="L27" i="55" s="1"/>
  <c r="M27" i="55" s="1"/>
  <c r="I20" i="55"/>
  <c r="K20" i="55" s="1"/>
  <c r="L20" i="55" s="1"/>
  <c r="M20" i="55" s="1"/>
  <c r="I37" i="55"/>
  <c r="K37" i="55" s="1"/>
  <c r="L37" i="55" s="1"/>
  <c r="M37" i="55" s="1"/>
  <c r="I33" i="61"/>
  <c r="K33" i="61" s="1"/>
  <c r="L33" i="61" s="1"/>
  <c r="M33" i="61" s="1"/>
  <c r="I27" i="58"/>
  <c r="K27" i="58" s="1"/>
  <c r="L27" i="58" s="1"/>
  <c r="M27" i="58" s="1"/>
  <c r="I20" i="57"/>
  <c r="K20" i="57" s="1"/>
  <c r="L20" i="57" s="1"/>
  <c r="M20" i="57" s="1"/>
  <c r="I25" i="56"/>
  <c r="K25" i="56" s="1"/>
  <c r="L25" i="56" s="1"/>
  <c r="M25" i="56" s="1"/>
  <c r="I25" i="54"/>
  <c r="K25" i="54" s="1"/>
  <c r="L25" i="54" s="1"/>
  <c r="M25" i="54" s="1"/>
  <c r="I26" i="54"/>
  <c r="K26" i="54" s="1"/>
  <c r="L26" i="54" s="1"/>
  <c r="M26" i="54" s="1"/>
  <c r="I19" i="55"/>
  <c r="K19" i="55" s="1"/>
  <c r="L19" i="55" s="1"/>
  <c r="M19" i="55" s="1"/>
  <c r="I30" i="58"/>
  <c r="K30" i="58" s="1"/>
  <c r="L30" i="58" s="1"/>
  <c r="M30" i="58" s="1"/>
  <c r="I26" i="61"/>
  <c r="K26" i="61" s="1"/>
  <c r="L26" i="61" s="1"/>
  <c r="M26" i="61" s="1"/>
  <c r="I35" i="58"/>
  <c r="K35" i="58" s="1"/>
  <c r="L35" i="58" s="1"/>
  <c r="M35" i="58" s="1"/>
  <c r="I33" i="68"/>
  <c r="K33" i="68" s="1"/>
  <c r="L33" i="68" s="1"/>
  <c r="M33" i="68" s="1"/>
  <c r="I24" i="56"/>
  <c r="K24" i="56" s="1"/>
  <c r="L24" i="56" s="1"/>
  <c r="M24" i="56" s="1"/>
  <c r="I25" i="69"/>
  <c r="K25" i="69" s="1"/>
  <c r="L25" i="69" s="1"/>
  <c r="M25" i="69" s="1"/>
  <c r="I19" i="56"/>
  <c r="K19" i="56" s="1"/>
  <c r="L19" i="56" s="1"/>
  <c r="M19" i="56" s="1"/>
  <c r="I27" i="69"/>
  <c r="K27" i="69" s="1"/>
  <c r="L27" i="69" s="1"/>
  <c r="M27" i="69" s="1"/>
  <c r="I29" i="68"/>
  <c r="K29" i="68" s="1"/>
  <c r="L29" i="68" s="1"/>
  <c r="M29" i="68" s="1"/>
  <c r="I19" i="65"/>
  <c r="K19" i="65" s="1"/>
  <c r="L19" i="65" s="1"/>
  <c r="M19" i="65" s="1"/>
  <c r="I20" i="65"/>
  <c r="K20" i="65" s="1"/>
  <c r="L20" i="65" s="1"/>
  <c r="M20" i="65" s="1"/>
  <c r="I22" i="70"/>
  <c r="K22" i="70" s="1"/>
  <c r="L22" i="70" s="1"/>
  <c r="M22" i="70" s="1"/>
  <c r="I19" i="69"/>
  <c r="K19" i="69" s="1"/>
  <c r="L19" i="69" s="1"/>
  <c r="M19" i="69" s="1"/>
  <c r="I35" i="69"/>
  <c r="K35" i="69" s="1"/>
  <c r="L35" i="69" s="1"/>
  <c r="M35" i="69" s="1"/>
  <c r="I35" i="66"/>
  <c r="K35" i="66" s="1"/>
  <c r="L35" i="66" s="1"/>
  <c r="M35" i="66" s="1"/>
  <c r="I26" i="70"/>
  <c r="K26" i="70" s="1"/>
  <c r="L26" i="70" s="1"/>
  <c r="M26" i="70" s="1"/>
  <c r="I35" i="68"/>
  <c r="K35" i="68" s="1"/>
  <c r="L35" i="68" s="1"/>
  <c r="M35" i="68" s="1"/>
  <c r="I36" i="67"/>
  <c r="K36" i="67" s="1"/>
  <c r="L36" i="67" s="1"/>
  <c r="M36" i="67" s="1"/>
  <c r="I26" i="67"/>
  <c r="K26" i="67" s="1"/>
  <c r="L26" i="67" s="1"/>
  <c r="M26" i="67" s="1"/>
  <c r="I23" i="65"/>
  <c r="K23" i="65" s="1"/>
  <c r="L23" i="65" s="1"/>
  <c r="M23" i="65" s="1"/>
  <c r="I26" i="62"/>
  <c r="K26" i="62" s="1"/>
  <c r="L26" i="62" s="1"/>
  <c r="M26" i="62" s="1"/>
  <c r="I19" i="62"/>
  <c r="K19" i="62" s="1"/>
  <c r="L19" i="62" s="1"/>
  <c r="M19" i="62" s="1"/>
  <c r="I25" i="76"/>
  <c r="K25" i="76" s="1"/>
  <c r="L25" i="76" s="1"/>
  <c r="M25" i="76" s="1"/>
  <c r="I34" i="69"/>
  <c r="K34" i="69" s="1"/>
  <c r="L34" i="69" s="1"/>
  <c r="M34" i="69" s="1"/>
  <c r="I22" i="67"/>
  <c r="K22" i="67" s="1"/>
  <c r="L22" i="67" s="1"/>
  <c r="M22" i="67" s="1"/>
  <c r="I36" i="66"/>
  <c r="K36" i="66" s="1"/>
  <c r="L36" i="66" s="1"/>
  <c r="M36" i="66" s="1"/>
  <c r="I33" i="66"/>
  <c r="K33" i="66" s="1"/>
  <c r="L33" i="66" s="1"/>
  <c r="M33" i="66" s="1"/>
  <c r="I20" i="64"/>
  <c r="K20" i="64" s="1"/>
  <c r="L20" i="64" s="1"/>
  <c r="M20" i="64" s="1"/>
  <c r="I27" i="65"/>
  <c r="K27" i="65" s="1"/>
  <c r="L27" i="65" s="1"/>
  <c r="M27" i="65" s="1"/>
  <c r="I23" i="62"/>
  <c r="K23" i="62" s="1"/>
  <c r="L23" i="62" s="1"/>
  <c r="M23" i="62" s="1"/>
  <c r="I37" i="75"/>
  <c r="K37" i="75" s="1"/>
  <c r="L37" i="75" s="1"/>
  <c r="M37" i="75" s="1"/>
  <c r="I35" i="64"/>
  <c r="K35" i="64" s="1"/>
  <c r="L35" i="64" s="1"/>
  <c r="M35" i="64" s="1"/>
  <c r="I19" i="64"/>
  <c r="K19" i="64" s="1"/>
  <c r="L19" i="64" s="1"/>
  <c r="M19" i="64" s="1"/>
  <c r="I36" i="60"/>
  <c r="K36" i="60" s="1"/>
  <c r="L36" i="60" s="1"/>
  <c r="M36" i="60" s="1"/>
  <c r="I29" i="56"/>
  <c r="K29" i="56" s="1"/>
  <c r="L29" i="56" s="1"/>
  <c r="M29" i="56" s="1"/>
  <c r="I22" i="54"/>
  <c r="K22" i="54" s="1"/>
  <c r="L22" i="54" s="1"/>
  <c r="M22" i="54" s="1"/>
  <c r="I22" i="60"/>
  <c r="K22" i="60" s="1"/>
  <c r="L22" i="60" s="1"/>
  <c r="M22" i="60" s="1"/>
  <c r="I34" i="58"/>
  <c r="K34" i="58" s="1"/>
  <c r="L34" i="58" s="1"/>
  <c r="M34" i="58" s="1"/>
  <c r="I31" i="57"/>
  <c r="K31" i="57" s="1"/>
  <c r="L31" i="57" s="1"/>
  <c r="M31" i="57" s="1"/>
  <c r="I34" i="57"/>
  <c r="K34" i="57" s="1"/>
  <c r="L34" i="57" s="1"/>
  <c r="M34" i="57" s="1"/>
  <c r="I30" i="56"/>
  <c r="K30" i="56" s="1"/>
  <c r="L30" i="56" s="1"/>
  <c r="M30" i="56" s="1"/>
  <c r="I31" i="54"/>
  <c r="K31" i="54" s="1"/>
  <c r="L31" i="54" s="1"/>
  <c r="M31" i="54" s="1"/>
  <c r="I20" i="54"/>
  <c r="K20" i="54" s="1"/>
  <c r="L20" i="54" s="1"/>
  <c r="M20" i="54" s="1"/>
  <c r="I24" i="57"/>
  <c r="K24" i="57" s="1"/>
  <c r="L24" i="57" s="1"/>
  <c r="M24" i="57" s="1"/>
  <c r="I24" i="54"/>
  <c r="K24" i="54" s="1"/>
  <c r="L24" i="54" s="1"/>
  <c r="M24" i="54" s="1"/>
  <c r="H11" i="66"/>
  <c r="D22" i="10"/>
  <c r="D14" i="10"/>
  <c r="H11" i="58"/>
  <c r="D15" i="10"/>
  <c r="H11" i="59"/>
  <c r="D25" i="10"/>
  <c r="H11" i="69"/>
  <c r="D13" i="10"/>
  <c r="H11" i="57"/>
  <c r="D9" i="10"/>
  <c r="H11" i="53"/>
  <c r="D28" i="10"/>
  <c r="H11" i="75"/>
  <c r="H11" i="68"/>
  <c r="D24" i="10"/>
  <c r="D20" i="10"/>
  <c r="H11" i="64"/>
  <c r="D16" i="10"/>
  <c r="H11" i="60"/>
  <c r="D12" i="10"/>
  <c r="H11" i="56"/>
  <c r="H11" i="67"/>
  <c r="D23" i="10"/>
  <c r="D29" i="10"/>
  <c r="H11" i="76"/>
  <c r="D17" i="10"/>
  <c r="H11" i="61"/>
  <c r="H11" i="71"/>
  <c r="D27" i="10"/>
  <c r="H11" i="63"/>
  <c r="D11" i="10"/>
  <c r="H11" i="55"/>
  <c r="D21" i="10"/>
  <c r="D26" i="10"/>
  <c r="H11" i="70"/>
  <c r="H11" i="62"/>
  <c r="D18" i="10"/>
  <c r="D10" i="10"/>
  <c r="H11" i="54"/>
  <c r="C8" i="12"/>
  <c r="J19" i="12" l="1"/>
  <c r="H19" i="12"/>
  <c r="H31" i="12"/>
  <c r="G31" i="12"/>
  <c r="H27" i="12"/>
  <c r="J36" i="12"/>
  <c r="J32" i="12"/>
  <c r="J28" i="12"/>
  <c r="J24" i="12"/>
  <c r="J20" i="12"/>
  <c r="J35" i="12"/>
  <c r="J31" i="12"/>
  <c r="J27" i="12"/>
  <c r="J23" i="12"/>
  <c r="H26" i="12"/>
  <c r="J34" i="12"/>
  <c r="J30" i="12"/>
  <c r="J26" i="12"/>
  <c r="J22" i="12"/>
  <c r="G19" i="12"/>
  <c r="J37" i="12"/>
  <c r="J33" i="12"/>
  <c r="J29" i="12"/>
  <c r="J25" i="12"/>
  <c r="J21" i="12"/>
  <c r="G27" i="12"/>
  <c r="H37" i="12"/>
  <c r="H33" i="12"/>
  <c r="H28" i="12"/>
  <c r="H22" i="12"/>
  <c r="G36" i="12"/>
  <c r="G32" i="12"/>
  <c r="G26" i="12"/>
  <c r="G22" i="12"/>
  <c r="H35" i="12"/>
  <c r="H30" i="12"/>
  <c r="H24" i="12"/>
  <c r="H20" i="12"/>
  <c r="G34" i="12"/>
  <c r="G29" i="12"/>
  <c r="G24" i="12"/>
  <c r="G20" i="12"/>
  <c r="H34" i="12"/>
  <c r="H29" i="12"/>
  <c r="H23" i="12"/>
  <c r="G37" i="12"/>
  <c r="G33" i="12"/>
  <c r="G28" i="12"/>
  <c r="G23" i="12"/>
  <c r="H36" i="12"/>
  <c r="H32" i="12"/>
  <c r="H25" i="12"/>
  <c r="H21" i="12"/>
  <c r="G35" i="12"/>
  <c r="G30" i="12"/>
  <c r="G25" i="12"/>
  <c r="G21" i="12"/>
  <c r="AO9" i="1"/>
  <c r="AP9" i="1" l="1"/>
  <c r="I36" i="12"/>
  <c r="K36" i="12" s="1"/>
  <c r="L36" i="12" s="1"/>
  <c r="M36" i="12" s="1"/>
  <c r="I27" i="12"/>
  <c r="K27" i="12" s="1"/>
  <c r="L27" i="12" s="1"/>
  <c r="M27" i="12" s="1"/>
  <c r="I35" i="12"/>
  <c r="K35" i="12" s="1"/>
  <c r="L35" i="12" s="1"/>
  <c r="M35" i="12" s="1"/>
  <c r="I28" i="12"/>
  <c r="K28" i="12" s="1"/>
  <c r="L28" i="12" s="1"/>
  <c r="M28" i="12" s="1"/>
  <c r="H11" i="12" l="1"/>
  <c r="D8" i="10"/>
  <c r="I34" i="12"/>
  <c r="K34" i="12" s="1"/>
  <c r="L34" i="12" s="1"/>
  <c r="M34" i="12" s="1"/>
  <c r="I31" i="12"/>
  <c r="K31" i="12" s="1"/>
  <c r="L31" i="12" s="1"/>
  <c r="M31" i="12" s="1"/>
  <c r="I30" i="12"/>
  <c r="K30" i="12" s="1"/>
  <c r="L30" i="12" s="1"/>
  <c r="M30" i="12" s="1"/>
  <c r="I32" i="12"/>
  <c r="K32" i="12" s="1"/>
  <c r="L32" i="12" s="1"/>
  <c r="M32" i="12" s="1"/>
  <c r="I26" i="12"/>
  <c r="K26" i="12" s="1"/>
  <c r="L26" i="12" s="1"/>
  <c r="M26" i="12" s="1"/>
  <c r="I33" i="12"/>
  <c r="K33" i="12" s="1"/>
  <c r="L33" i="12" s="1"/>
  <c r="M33" i="12" s="1"/>
  <c r="I23" i="12"/>
  <c r="K23" i="12" s="1"/>
  <c r="L23" i="12" s="1"/>
  <c r="M23" i="12" s="1"/>
  <c r="I25" i="12"/>
  <c r="K25" i="12" s="1"/>
  <c r="L25" i="12" s="1"/>
  <c r="M25" i="12" s="1"/>
  <c r="I37" i="12"/>
  <c r="K37" i="12" s="1"/>
  <c r="L37" i="12" s="1"/>
  <c r="M37" i="12" s="1"/>
  <c r="I29" i="12"/>
  <c r="K29" i="12" s="1"/>
  <c r="L29" i="12" s="1"/>
  <c r="M29" i="12" s="1"/>
  <c r="I22" i="12"/>
  <c r="K22" i="12" s="1"/>
  <c r="L22" i="12" s="1"/>
  <c r="M22" i="12" s="1"/>
  <c r="I20" i="12"/>
  <c r="K20" i="12" s="1"/>
  <c r="L20" i="12" s="1"/>
  <c r="M20" i="12" s="1"/>
  <c r="I21" i="12"/>
  <c r="K21" i="12" s="1"/>
  <c r="L21" i="12" s="1"/>
  <c r="M21" i="12" s="1"/>
  <c r="I24" i="12"/>
  <c r="K24" i="12" s="1"/>
  <c r="L24" i="12" s="1"/>
  <c r="M24" i="12" s="1"/>
  <c r="I19" i="12"/>
  <c r="K19" i="12" s="1"/>
  <c r="L19" i="12" s="1"/>
  <c r="M19" i="12" s="1"/>
  <c r="C12" i="12"/>
  <c r="D17" i="12"/>
  <c r="D15" i="12"/>
  <c r="C9" i="12" l="1"/>
  <c r="B9" i="10" l="1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D16" i="54" l="1"/>
  <c r="D16" i="53"/>
  <c r="D16" i="57"/>
  <c r="D16" i="55"/>
  <c r="H12" i="55"/>
  <c r="H12" i="56"/>
  <c r="H12" i="54"/>
  <c r="D16" i="56"/>
  <c r="H12" i="53"/>
  <c r="H12" i="57"/>
  <c r="H12" i="66"/>
  <c r="H12" i="62"/>
  <c r="H12" i="64"/>
  <c r="D16" i="62"/>
  <c r="H12" i="61"/>
  <c r="D16" i="66"/>
  <c r="D16" i="69"/>
  <c r="H12" i="58"/>
  <c r="H12" i="70"/>
  <c r="D16" i="64"/>
  <c r="H12" i="63"/>
  <c r="H12" i="65"/>
  <c r="D16" i="61"/>
  <c r="D16" i="76"/>
  <c r="D16" i="70"/>
  <c r="H12" i="59"/>
  <c r="D16" i="58"/>
  <c r="H12" i="67"/>
  <c r="D16" i="68"/>
  <c r="D16" i="65"/>
  <c r="H12" i="69"/>
  <c r="H12" i="68"/>
  <c r="D16" i="67"/>
  <c r="H12" i="60"/>
  <c r="D16" i="60"/>
  <c r="H12" i="76"/>
  <c r="H12" i="71"/>
  <c r="D16" i="63"/>
  <c r="D16" i="71"/>
  <c r="D16" i="75"/>
  <c r="H12" i="75"/>
  <c r="D16" i="59"/>
  <c r="H12" i="12"/>
  <c r="D16" i="12"/>
</calcChain>
</file>

<file path=xl/sharedStrings.xml><?xml version="1.0" encoding="utf-8"?>
<sst xmlns="http://schemas.openxmlformats.org/spreadsheetml/2006/main" count="1624" uniqueCount="193">
  <si>
    <t>S/NO</t>
  </si>
  <si>
    <t>CA</t>
  </si>
  <si>
    <t>EXAM</t>
  </si>
  <si>
    <t>BASIC SCIENCE</t>
  </si>
  <si>
    <t>BASIC TECH</t>
  </si>
  <si>
    <t>BUSINESS STUDIES</t>
  </si>
  <si>
    <t>AGRICULTURAL SCIENCE</t>
  </si>
  <si>
    <t>CULTURAL &amp; CREATIVE ART</t>
  </si>
  <si>
    <t>CIVIC EDUCATION</t>
  </si>
  <si>
    <t>CHRISTIAN RELIGIOUS STUDIES</t>
  </si>
  <si>
    <t>ENGLISH LANGUAGE</t>
  </si>
  <si>
    <t>ENGLISH PHONETICS</t>
  </si>
  <si>
    <t>STUDENT NAME</t>
  </si>
  <si>
    <t>FRENCH</t>
  </si>
  <si>
    <t>HISTORY</t>
  </si>
  <si>
    <t>HOME ECONOMICS</t>
  </si>
  <si>
    <t>INFORMATION TECHNOLOGY</t>
  </si>
  <si>
    <t>MATHEMATICS</t>
  </si>
  <si>
    <t>PHYSICAL &amp; HEALTH EDUCATION</t>
  </si>
  <si>
    <t>SECURITY EDUCATION</t>
  </si>
  <si>
    <t>SOCIAL STUDIES</t>
  </si>
  <si>
    <t>YORUBA LANGUAGE</t>
  </si>
  <si>
    <t>IGBO LANGUAGE</t>
  </si>
  <si>
    <t>ADDITIONAL DETAILS</t>
  </si>
  <si>
    <t>NO OF TIMES SCHOOL OPENED</t>
  </si>
  <si>
    <t>NO OF TIMES PRESENT</t>
  </si>
  <si>
    <t>CLASS TEACHER'S REMARK</t>
  </si>
  <si>
    <t>PRINCIPAL'S COMMENT</t>
  </si>
  <si>
    <t>CLASS AVERAGE</t>
  </si>
  <si>
    <t>POSITION</t>
  </si>
  <si>
    <t>TOTAL</t>
  </si>
  <si>
    <t>AVERAGE</t>
  </si>
  <si>
    <t>PUNCTUALITY</t>
  </si>
  <si>
    <t>NEATNESS</t>
  </si>
  <si>
    <t>HONESTY</t>
  </si>
  <si>
    <t>CREATIVITY</t>
  </si>
  <si>
    <t>REPORT CARD</t>
  </si>
  <si>
    <t>Student Name:</t>
  </si>
  <si>
    <t>Class:</t>
  </si>
  <si>
    <t>Session:</t>
  </si>
  <si>
    <t>Term:</t>
  </si>
  <si>
    <t>Next Term Begins:</t>
  </si>
  <si>
    <t>JSS 1A</t>
  </si>
  <si>
    <t>SESSION</t>
  </si>
  <si>
    <t>Position:</t>
  </si>
  <si>
    <t>No. in Class:</t>
  </si>
  <si>
    <t>No. of times School Opened:</t>
  </si>
  <si>
    <t>No. of times Present:</t>
  </si>
  <si>
    <t>FREQUENCIES</t>
  </si>
  <si>
    <t>SCHOOL ATTENDANCE</t>
  </si>
  <si>
    <t>PSYCHOMOTOR</t>
  </si>
  <si>
    <t>A</t>
  </si>
  <si>
    <t>C</t>
  </si>
  <si>
    <t>D</t>
  </si>
  <si>
    <t>E</t>
  </si>
  <si>
    <t>B</t>
  </si>
  <si>
    <t>SUBJECT</t>
  </si>
  <si>
    <t>GRADE</t>
  </si>
  <si>
    <t>NUMBER IN CLASS</t>
  </si>
  <si>
    <t>NEXT TERM BEGINS</t>
  </si>
  <si>
    <t>CUMMULATIVE SCORE</t>
  </si>
  <si>
    <t>CLASS TEACHER'S REMARK:</t>
  </si>
  <si>
    <t>KEYS TO GRADE:</t>
  </si>
  <si>
    <t>PRINCIPAL'S COMMENT:</t>
  </si>
  <si>
    <t>A: [70 and Above] C: [50 - 69]  P: [40 - 49] F: [39 and Below]</t>
  </si>
  <si>
    <t>SIGNATURE &amp; STAMP</t>
  </si>
  <si>
    <t>He is well behaved and obedient</t>
  </si>
  <si>
    <t>He is always gentle and sociable</t>
  </si>
  <si>
    <t>She is always neat and punctual to school</t>
  </si>
  <si>
    <t>She is gentle and neat</t>
  </si>
  <si>
    <t>He is an obedient student</t>
  </si>
  <si>
    <t>He is respectful and always neat</t>
  </si>
  <si>
    <t>He is always neat and obedient</t>
  </si>
  <si>
    <t>He is respectful and obedient</t>
  </si>
  <si>
    <t>She is brilliant and industrious</t>
  </si>
  <si>
    <t>He is intelligent, obedient and hardworking</t>
  </si>
  <si>
    <t>He is brilliant, hardworking and industrious</t>
  </si>
  <si>
    <t>He is well behaved and intelligent</t>
  </si>
  <si>
    <t>He is hard working and always punctual to school</t>
  </si>
  <si>
    <t>He is truthful and reliable</t>
  </si>
  <si>
    <t>He is always attentive in the class</t>
  </si>
  <si>
    <t>He is punctual to school and well behaved</t>
  </si>
  <si>
    <t>He is quite, well behaved and always neat</t>
  </si>
  <si>
    <t>She is hardworking, obedient and well behaved</t>
  </si>
  <si>
    <t>She is respectful and obedient</t>
  </si>
  <si>
    <t>He is reliable, truthful and honest</t>
  </si>
  <si>
    <t>He is smart, eager to learn and respectful</t>
  </si>
  <si>
    <t>Fairly good. Give greater attention to your study next term</t>
  </si>
  <si>
    <t>This is good result. Keep working hard</t>
  </si>
  <si>
    <t>This performance is satisfactory.</t>
  </si>
  <si>
    <t>Good performance. Keep it up</t>
  </si>
  <si>
    <t>Fair result. You can improve in your weak subjects</t>
  </si>
  <si>
    <t>Good result. Try to put more effort in your weak areas</t>
  </si>
  <si>
    <t>Very good. You have performed so well. Keep up the good work</t>
  </si>
  <si>
    <t>Good performances. Work harder on your weak areas</t>
  </si>
  <si>
    <t>Good result but you can do better than this</t>
  </si>
  <si>
    <t>Very good result. Keep it up</t>
  </si>
  <si>
    <t>Excellent. Keep it up</t>
  </si>
  <si>
    <t>Poor result. You can do better next term</t>
  </si>
  <si>
    <t>Fairly good result. You can do better</t>
  </si>
  <si>
    <t>Fairly good. Buckle up next term</t>
  </si>
  <si>
    <t>Good result. You can surpass this performance next term</t>
  </si>
  <si>
    <t>Poor. Improve more on your studies to measure up. Learning is not difficult</t>
  </si>
  <si>
    <t>Excellent performance.</t>
  </si>
  <si>
    <t>Good result. You can improve on this next term</t>
  </si>
  <si>
    <t>Very good result. You can still do better.</t>
  </si>
  <si>
    <t>Poor result. Learn to devote time to private/personal studies</t>
  </si>
  <si>
    <t>Just fair. You can improve if only you will be more regular at school next term</t>
  </si>
  <si>
    <t>PASSPORT PHOTO</t>
  </si>
  <si>
    <t>Fairly good result. You need to work extra hard in your weak subjects area</t>
  </si>
  <si>
    <t>BROADSHEET</t>
  </si>
  <si>
    <t>2025/2026</t>
  </si>
  <si>
    <t>ADAKARAZA SAMUEL</t>
  </si>
  <si>
    <t>ADEOLA PEDRO</t>
  </si>
  <si>
    <t>ASAMS DANIELLA</t>
  </si>
  <si>
    <t>ASIBOR NANCY</t>
  </si>
  <si>
    <t>BANKOLE AMEERAT</t>
  </si>
  <si>
    <t>CHIEKEZIE MAXWELL</t>
  </si>
  <si>
    <t>ENEJOH PHINEHAS</t>
  </si>
  <si>
    <t>EWELUKWA FAVOUR</t>
  </si>
  <si>
    <t>HAMMED OLAMIDE</t>
  </si>
  <si>
    <t>HAMZAT AKOREDE</t>
  </si>
  <si>
    <t>JAMES DIVINE</t>
  </si>
  <si>
    <t>JOEL JOSHUA</t>
  </si>
  <si>
    <t>JOSIAH SUNDAY</t>
  </si>
  <si>
    <t>KUFRE GOODNEWS</t>
  </si>
  <si>
    <t>NWABUEZE FAVOUR</t>
  </si>
  <si>
    <t>NWABUEZE VICTOR</t>
  </si>
  <si>
    <t>ONYINYECHI ANITA</t>
  </si>
  <si>
    <t>ORIAKU BRIGHT</t>
  </si>
  <si>
    <t>SAKA FAREED</t>
  </si>
  <si>
    <t>VICTOR LOVETH</t>
  </si>
  <si>
    <t>WASIU NIMOTALLAH</t>
  </si>
  <si>
    <t>A good result, you still need to work harder on your present scores.</t>
  </si>
  <si>
    <t>A good result you still need to work harder on your present scores. Promoted to the Next Class.</t>
  </si>
  <si>
    <t>Fairly good. Give greater attention to your study next term. Promoted to the Next Class.</t>
  </si>
  <si>
    <t>This is good result. Keep working hard. Promoted to the Next Class.</t>
  </si>
  <si>
    <t>This performance is satisfactory. Promoted to the Next Class.</t>
  </si>
  <si>
    <t>Good performance. Keep it up. Promoted to the Next Class.</t>
  </si>
  <si>
    <t>Fair result. You can improve in your weak subjects. Promoted to the Next Class.</t>
  </si>
  <si>
    <t>Fairly good result. You need to work extra hard in your weak subjects area. Promoted to the Next Class.</t>
  </si>
  <si>
    <t>Good result. Try to put more effort in your weak areas. Promoted to the Next Class.</t>
  </si>
  <si>
    <t>Very good. You have performed so well. Keep up the good work. Promoted to the Next Class.</t>
  </si>
  <si>
    <t>Good performances. Work harder on your weak areas. Promoted to the Next Class.</t>
  </si>
  <si>
    <t>Good result but you can do better than this. Promoted to the Next Class.</t>
  </si>
  <si>
    <t>Very good result. Keep it up. Promoted to the Next Class.</t>
  </si>
  <si>
    <t>Excellent. Keep it up. Promoted to the Next Class.</t>
  </si>
  <si>
    <t>Poor result. You can do better next term. Promoted to the Next Class.</t>
  </si>
  <si>
    <t>Fairly good result. You can do better. Promoted to the Next Class.</t>
  </si>
  <si>
    <t>Fairly good. Buckle up next term. Promoted to the Next Class.</t>
  </si>
  <si>
    <t>Good result. You can surpass this performance next term. Promoted to the Next Class.</t>
  </si>
  <si>
    <t>Poor. Improve more on your studies to measure up. Learning is not difficult. Promoted to the Next Class.</t>
  </si>
  <si>
    <t>Excellent performance. Promoted to the Next Class.</t>
  </si>
  <si>
    <t>Good result. You can improve on this next term. Promoted to the Next Class.</t>
  </si>
  <si>
    <t>Very good result. You can still do better. Promoted to the Next Class.</t>
  </si>
  <si>
    <t>Poor result. Learn to devote time to private/personal studies. Promoted to the Next Class.</t>
  </si>
  <si>
    <t>Just fair. You can improve if only you will be more regular at school next term. Promoted to the Next Class.</t>
  </si>
  <si>
    <t>He needs to pay more attention in class to improve his understanding.</t>
  </si>
  <si>
    <t>She is improving gradually but needs to participate more in class discussions.</t>
  </si>
  <si>
    <t>He should learn to submit assignments on time.</t>
  </si>
  <si>
    <t>She can do better if she avoids distractions during lessons.</t>
  </si>
  <si>
    <t>He is sometimes playful in class and needs to concentrate more.</t>
  </si>
  <si>
    <t>She tries her best but needs to put in more effort in her weak subjects.</t>
  </si>
  <si>
    <t>He is calm but should be more active in group work.</t>
  </si>
  <si>
    <t>She is responsible but needs to work on her handwriting.</t>
  </si>
  <si>
    <t>He is improving in behavior but still needs to avoid lateness.</t>
  </si>
  <si>
    <t>She is obedient but should learn to speak more confidently in class.</t>
  </si>
  <si>
    <t>He shows interest in learning but needs to be more consistent.</t>
  </si>
  <si>
    <t>She is friendly but talks too much during lessons.</t>
  </si>
  <si>
    <t>He needs to be more serious with his studies to achieve better results.</t>
  </si>
  <si>
    <t>She is respectful but sometimes forgets to complete her homework.</t>
  </si>
  <si>
    <t>He can perform better with greater commitment and focus.</t>
  </si>
  <si>
    <t>He loses concentration easily and must learn to stay focused during lessons.</t>
  </si>
  <si>
    <t>She is irregular in attendance and should be more punctual to school.</t>
  </si>
  <si>
    <t>He is careless with his books and needs to be more organized.</t>
  </si>
  <si>
    <t>She finds it difficult to follow instructions and must pay closer attention.</t>
  </si>
  <si>
    <t>He can do better if he reduces his level of playfulness in class.</t>
  </si>
  <si>
    <t>She needs to put more seriousness into her academic work</t>
  </si>
  <si>
    <t>SECOND TERM</t>
  </si>
  <si>
    <t>Cum Total</t>
  </si>
  <si>
    <t>First Term Score</t>
  </si>
  <si>
    <t>Second Term CA</t>
  </si>
  <si>
    <t>Second Term Exam</t>
  </si>
  <si>
    <t>Second Term Total</t>
  </si>
  <si>
    <t>Cum Average</t>
  </si>
  <si>
    <t>Cum Average:</t>
  </si>
  <si>
    <t>FIRST TERM</t>
  </si>
  <si>
    <t>4th MAY 2026</t>
  </si>
  <si>
    <t>MBUOTIDEM MOSES</t>
  </si>
  <si>
    <t>EASYNETT INT'L COLLEGE OF TECH. (EICT)</t>
  </si>
  <si>
    <t>76, WILMER CRESCENT, OLODI-APAPA, LAGOS</t>
  </si>
  <si>
    <r>
      <rPr>
        <b/>
        <sz val="12"/>
        <color rgb="FFFF0000"/>
        <rFont val="Calibri"/>
        <family val="2"/>
        <scheme val="minor"/>
      </rPr>
      <t>TEL:</t>
    </r>
    <r>
      <rPr>
        <sz val="12"/>
        <color rgb="FFFF0000"/>
        <rFont val="Calibri"/>
        <family val="2"/>
        <scheme val="minor"/>
      </rPr>
      <t xml:space="preserve"> 07030903097, 08054260717</t>
    </r>
  </si>
  <si>
    <t>EASYNETT INT'L COLLEGE OF TECH.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</si>
</sst>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sz val="10"/>
      <color rgb="FF00B050"/>
      <name val="Tahoma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24"/>
      <color rgb="FF00B050"/>
      <name val="Tahoma"/>
      <family val="2"/>
    </font>
    <font>
      <i/>
      <sz val="14"/>
      <color rgb="FF0070C0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8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/>
      <name val="Tahoma"/>
      <family val="2"/>
    </font>
    <font>
      <b/>
      <sz val="12"/>
      <color rgb="FF0070C0"/>
      <name val="Tahoma"/>
      <family val="2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Protection="1">
      <protection locked="0"/>
    </xf>
    <xf numFmtId="0" fontId="0" fillId="0" borderId="2" xfId="0" applyBorder="1" applyAlignment="1">
      <alignment horizontal="center"/>
    </xf>
    <xf numFmtId="0" fontId="11" fillId="0" borderId="1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10" xfId="0" applyBorder="1"/>
    <xf numFmtId="0" fontId="0" fillId="0" borderId="3" xfId="0" applyBorder="1"/>
    <xf numFmtId="0" fontId="12" fillId="0" borderId="0" xfId="0" applyFont="1" applyAlignment="1">
      <alignment vertical="center" textRotation="45"/>
    </xf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0" fillId="0" borderId="9" xfId="0" applyBorder="1"/>
    <xf numFmtId="0" fontId="7" fillId="0" borderId="2" xfId="0" applyFont="1" applyBorder="1"/>
    <xf numFmtId="0" fontId="11" fillId="0" borderId="3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7" fillId="0" borderId="7" xfId="0" applyFont="1" applyBorder="1"/>
    <xf numFmtId="0" fontId="8" fillId="0" borderId="10" xfId="0" applyFont="1" applyBorder="1" applyAlignment="1" applyProtection="1">
      <alignment horizontal="center"/>
      <protection locked="0"/>
    </xf>
    <xf numFmtId="0" fontId="11" fillId="0" borderId="0" xfId="0" applyFont="1"/>
    <xf numFmtId="0" fontId="22" fillId="0" borderId="7" xfId="0" applyFont="1" applyBorder="1" applyAlignment="1">
      <alignment vertical="center"/>
    </xf>
    <xf numFmtId="0" fontId="20" fillId="0" borderId="10" xfId="0" applyFont="1" applyBorder="1"/>
    <xf numFmtId="0" fontId="20" fillId="0" borderId="3" xfId="0" applyFont="1" applyBorder="1"/>
    <xf numFmtId="0" fontId="22" fillId="0" borderId="2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0" fillId="0" borderId="1" xfId="0" applyBorder="1"/>
    <xf numFmtId="0" fontId="7" fillId="0" borderId="0" xfId="0" applyFont="1" applyAlignment="1">
      <alignment vertical="center"/>
    </xf>
    <xf numFmtId="0" fontId="7" fillId="0" borderId="0" xfId="0" applyFont="1"/>
    <xf numFmtId="2" fontId="11" fillId="0" borderId="1" xfId="0" applyNumberFormat="1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2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hidden="1"/>
    </xf>
    <xf numFmtId="0" fontId="24" fillId="0" borderId="1" xfId="0" applyFont="1" applyBorder="1" applyAlignment="1">
      <alignment horizontal="center"/>
    </xf>
    <xf numFmtId="0" fontId="25" fillId="0" borderId="1" xfId="0" applyFont="1" applyBorder="1"/>
    <xf numFmtId="0" fontId="0" fillId="0" borderId="1" xfId="0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0" fillId="3" borderId="13" xfId="0" applyFont="1" applyFill="1" applyBorder="1" applyAlignment="1">
      <alignment horizontal="center" vertical="center" textRotation="90"/>
    </xf>
    <xf numFmtId="0" fontId="10" fillId="2" borderId="13" xfId="0" applyFont="1" applyFill="1" applyBorder="1" applyAlignment="1">
      <alignment horizontal="center" vertical="center" textRotation="90"/>
    </xf>
    <xf numFmtId="0" fontId="0" fillId="0" borderId="1" xfId="0" applyBorder="1" applyAlignment="1" applyProtection="1">
      <alignment horizontal="right" wrapText="1"/>
      <protection locked="0"/>
    </xf>
    <xf numFmtId="0" fontId="8" fillId="0" borderId="13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wrapText="1"/>
      <protection locked="0"/>
    </xf>
    <xf numFmtId="0" fontId="3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25" fillId="0" borderId="1" xfId="0" applyFont="1" applyBorder="1" applyAlignment="1">
      <alignment vertical="center"/>
    </xf>
    <xf numFmtId="0" fontId="8" fillId="0" borderId="8" xfId="0" applyFont="1" applyBorder="1" applyAlignment="1" applyProtection="1">
      <alignment horizontal="center"/>
      <protection locked="0"/>
    </xf>
    <xf numFmtId="0" fontId="21" fillId="0" borderId="1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textRotation="90" wrapText="1"/>
    </xf>
    <xf numFmtId="0" fontId="0" fillId="0" borderId="5" xfId="0" applyBorder="1"/>
    <xf numFmtId="0" fontId="0" fillId="0" borderId="14" xfId="0" applyBorder="1" applyAlignment="1" applyProtection="1">
      <alignment horizontal="left"/>
      <protection hidden="1"/>
    </xf>
    <xf numFmtId="0" fontId="8" fillId="0" borderId="3" xfId="0" applyFont="1" applyBorder="1" applyAlignment="1" applyProtection="1">
      <alignment horizontal="center"/>
      <protection locked="0"/>
    </xf>
    <xf numFmtId="0" fontId="26" fillId="0" borderId="2" xfId="0" applyFont="1" applyBorder="1" applyAlignment="1">
      <alignment vertical="center"/>
    </xf>
    <xf numFmtId="0" fontId="8" fillId="0" borderId="9" xfId="0" applyFont="1" applyBorder="1" applyAlignment="1" applyProtection="1">
      <alignment horizontal="center"/>
      <protection locked="0"/>
    </xf>
    <xf numFmtId="0" fontId="26" fillId="0" borderId="7" xfId="0" applyFont="1" applyBorder="1" applyAlignment="1">
      <alignment vertical="center"/>
    </xf>
    <xf numFmtId="0" fontId="11" fillId="0" borderId="10" xfId="0" applyFont="1" applyBorder="1" applyAlignment="1">
      <alignment horizontal="left"/>
    </xf>
    <xf numFmtId="0" fontId="12" fillId="0" borderId="10" xfId="0" applyFont="1" applyBorder="1" applyAlignment="1">
      <alignment horizontal="center" vertical="center" textRotation="45"/>
    </xf>
    <xf numFmtId="0" fontId="11" fillId="0" borderId="5" xfId="0" applyFont="1" applyBorder="1" applyAlignment="1">
      <alignment horizontal="left"/>
    </xf>
    <xf numFmtId="0" fontId="0" fillId="0" borderId="0" xfId="0" applyProtection="1">
      <protection hidden="1"/>
    </xf>
    <xf numFmtId="2" fontId="11" fillId="0" borderId="13" xfId="0" applyNumberFormat="1" applyFont="1" applyBorder="1" applyAlignment="1" applyProtection="1">
      <alignment horizontal="right"/>
      <protection hidden="1"/>
    </xf>
    <xf numFmtId="2" fontId="11" fillId="0" borderId="10" xfId="0" applyNumberFormat="1" applyFont="1" applyBorder="1" applyAlignment="1" applyProtection="1">
      <alignment horizontal="right"/>
      <protection hidden="1"/>
    </xf>
    <xf numFmtId="2" fontId="11" fillId="0" borderId="1" xfId="0" applyNumberFormat="1" applyFont="1" applyBorder="1" applyProtection="1">
      <protection hidden="1"/>
    </xf>
    <xf numFmtId="0" fontId="12" fillId="0" borderId="5" xfId="0" applyFont="1" applyBorder="1" applyAlignment="1">
      <alignment horizontal="center" vertical="center" textRotation="45"/>
    </xf>
    <xf numFmtId="0" fontId="11" fillId="0" borderId="15" xfId="0" applyFont="1" applyBorder="1" applyAlignment="1" applyProtection="1">
      <alignment horizontal="center" wrapText="1"/>
      <protection locked="0"/>
    </xf>
    <xf numFmtId="0" fontId="0" fillId="0" borderId="15" xfId="0" applyBorder="1" applyAlignment="1" applyProtection="1">
      <alignment horizontal="center" wrapText="1"/>
      <protection locked="0"/>
    </xf>
    <xf numFmtId="0" fontId="0" fillId="0" borderId="15" xfId="0" applyBorder="1" applyAlignment="1" applyProtection="1">
      <alignment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0" fontId="1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23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textRotation="90" wrapText="1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27" fillId="0" borderId="1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1" xfId="0" applyFont="1" applyBorder="1" applyAlignment="1">
      <alignment horizontal="center" vertical="center" textRotation="45"/>
    </xf>
    <xf numFmtId="0" fontId="12" fillId="0" borderId="13" xfId="0" applyFont="1" applyBorder="1" applyAlignment="1">
      <alignment horizontal="center" vertical="center" textRotation="45"/>
    </xf>
    <xf numFmtId="0" fontId="11" fillId="0" borderId="5" xfId="0" applyFont="1" applyBorder="1" applyAlignment="1">
      <alignment horizontal="center"/>
    </xf>
  </cellXfs>
  <cellStyles count="1">
    <cellStyle name="Normal" xfId="0" builtinId="0"/>
  </cellStyles>
  <dxfs count="88"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P48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P9" sqref="AP9"/>
    </sheetView>
  </sheetViews>
  <sheetFormatPr defaultRowHeight="15" x14ac:dyDescent="0.25"/>
  <cols>
    <col min="1" max="1" width="5.28515625" bestFit="1" customWidth="1"/>
    <col min="2" max="2" width="35.28515625" customWidth="1"/>
    <col min="3" max="14" width="3.28515625" bestFit="1" customWidth="1"/>
    <col min="15" max="15" width="3.85546875" customWidth="1"/>
    <col min="16" max="16" width="4.7109375" customWidth="1"/>
    <col min="17" max="26" width="3.28515625" bestFit="1" customWidth="1"/>
    <col min="27" max="28" width="3.28515625" customWidth="1"/>
    <col min="29" max="32" width="3.28515625" bestFit="1" customWidth="1"/>
    <col min="33" max="33" width="4.28515625" customWidth="1"/>
    <col min="34" max="34" width="4.140625" customWidth="1"/>
    <col min="35" max="40" width="3.28515625" bestFit="1" customWidth="1"/>
    <col min="41" max="41" width="8.140625" customWidth="1"/>
    <col min="42" max="42" width="11.85546875" customWidth="1"/>
  </cols>
  <sheetData>
    <row r="1" spans="1:42" ht="15" customHeight="1" x14ac:dyDescent="0.25">
      <c r="A1" s="78" t="s">
        <v>189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</row>
    <row r="2" spans="1:42" ht="15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</row>
    <row r="3" spans="1:42" ht="18" x14ac:dyDescent="0.25">
      <c r="A3" s="82" t="s">
        <v>190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</row>
    <row r="4" spans="1:42" ht="15.75" x14ac:dyDescent="0.25">
      <c r="A4" s="84" t="s">
        <v>43</v>
      </c>
      <c r="B4" s="84"/>
      <c r="C4" s="81" t="s">
        <v>111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</row>
    <row r="5" spans="1:42" ht="15" customHeight="1" x14ac:dyDescent="0.25">
      <c r="A5" s="87"/>
      <c r="B5" s="86" t="s">
        <v>186</v>
      </c>
      <c r="C5" s="88" t="s">
        <v>110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90"/>
      <c r="AO5" s="94" t="s">
        <v>60</v>
      </c>
      <c r="AP5" s="95"/>
    </row>
    <row r="6" spans="1:42" ht="15" customHeight="1" x14ac:dyDescent="0.25">
      <c r="A6" s="87"/>
      <c r="B6" s="86"/>
      <c r="C6" s="91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3"/>
      <c r="AO6" s="96"/>
      <c r="AP6" s="97"/>
    </row>
    <row r="7" spans="1:42" ht="81" customHeight="1" x14ac:dyDescent="0.25">
      <c r="A7" s="85" t="s">
        <v>0</v>
      </c>
      <c r="B7" s="6" t="s">
        <v>42</v>
      </c>
      <c r="C7" s="80" t="s">
        <v>6</v>
      </c>
      <c r="D7" s="80"/>
      <c r="E7" s="83" t="s">
        <v>3</v>
      </c>
      <c r="F7" s="83"/>
      <c r="G7" s="80" t="s">
        <v>4</v>
      </c>
      <c r="H7" s="80"/>
      <c r="I7" s="83" t="s">
        <v>5</v>
      </c>
      <c r="J7" s="83"/>
      <c r="K7" s="80" t="s">
        <v>7</v>
      </c>
      <c r="L7" s="80">
        <v>10</v>
      </c>
      <c r="M7" s="83" t="s">
        <v>8</v>
      </c>
      <c r="N7" s="83">
        <v>12</v>
      </c>
      <c r="O7" s="80" t="s">
        <v>9</v>
      </c>
      <c r="P7" s="80"/>
      <c r="Q7" s="83" t="s">
        <v>10</v>
      </c>
      <c r="R7" s="83"/>
      <c r="S7" s="80" t="s">
        <v>11</v>
      </c>
      <c r="T7" s="80"/>
      <c r="U7" s="83" t="s">
        <v>13</v>
      </c>
      <c r="V7" s="83"/>
      <c r="W7" s="80" t="s">
        <v>14</v>
      </c>
      <c r="X7" s="80"/>
      <c r="Y7" s="83" t="s">
        <v>15</v>
      </c>
      <c r="Z7" s="83"/>
      <c r="AA7" s="80" t="s">
        <v>22</v>
      </c>
      <c r="AB7" s="80"/>
      <c r="AC7" s="83" t="s">
        <v>16</v>
      </c>
      <c r="AD7" s="83"/>
      <c r="AE7" s="80" t="s">
        <v>17</v>
      </c>
      <c r="AF7" s="80"/>
      <c r="AG7" s="83" t="s">
        <v>18</v>
      </c>
      <c r="AH7" s="83"/>
      <c r="AI7" s="80" t="s">
        <v>19</v>
      </c>
      <c r="AJ7" s="80"/>
      <c r="AK7" s="83" t="s">
        <v>20</v>
      </c>
      <c r="AL7" s="83"/>
      <c r="AM7" s="80" t="s">
        <v>21</v>
      </c>
      <c r="AN7" s="80"/>
      <c r="AO7" s="79" t="s">
        <v>30</v>
      </c>
      <c r="AP7" s="80" t="s">
        <v>31</v>
      </c>
    </row>
    <row r="8" spans="1:42" ht="29.25" x14ac:dyDescent="0.25">
      <c r="A8" s="85"/>
      <c r="B8" s="48" t="s">
        <v>12</v>
      </c>
      <c r="C8" s="46" t="s">
        <v>1</v>
      </c>
      <c r="D8" s="45" t="s">
        <v>2</v>
      </c>
      <c r="E8" s="46" t="s">
        <v>1</v>
      </c>
      <c r="F8" s="45" t="s">
        <v>2</v>
      </c>
      <c r="G8" s="46" t="s">
        <v>1</v>
      </c>
      <c r="H8" s="45" t="s">
        <v>2</v>
      </c>
      <c r="I8" s="46" t="s">
        <v>1</v>
      </c>
      <c r="J8" s="45" t="s">
        <v>2</v>
      </c>
      <c r="K8" s="46" t="s">
        <v>1</v>
      </c>
      <c r="L8" s="45" t="s">
        <v>2</v>
      </c>
      <c r="M8" s="46" t="s">
        <v>1</v>
      </c>
      <c r="N8" s="45" t="s">
        <v>2</v>
      </c>
      <c r="O8" s="46" t="s">
        <v>1</v>
      </c>
      <c r="P8" s="45" t="s">
        <v>2</v>
      </c>
      <c r="Q8" s="46" t="s">
        <v>1</v>
      </c>
      <c r="R8" s="45" t="s">
        <v>2</v>
      </c>
      <c r="S8" s="46" t="s">
        <v>1</v>
      </c>
      <c r="T8" s="45" t="s">
        <v>2</v>
      </c>
      <c r="U8" s="46" t="s">
        <v>1</v>
      </c>
      <c r="V8" s="45" t="s">
        <v>2</v>
      </c>
      <c r="W8" s="46" t="s">
        <v>1</v>
      </c>
      <c r="X8" s="45" t="s">
        <v>2</v>
      </c>
      <c r="Y8" s="46" t="s">
        <v>1</v>
      </c>
      <c r="Z8" s="45" t="s">
        <v>2</v>
      </c>
      <c r="AA8" s="46" t="s">
        <v>1</v>
      </c>
      <c r="AB8" s="45" t="s">
        <v>2</v>
      </c>
      <c r="AC8" s="46" t="s">
        <v>1</v>
      </c>
      <c r="AD8" s="45" t="s">
        <v>2</v>
      </c>
      <c r="AE8" s="46" t="s">
        <v>1</v>
      </c>
      <c r="AF8" s="45" t="s">
        <v>2</v>
      </c>
      <c r="AG8" s="46" t="s">
        <v>1</v>
      </c>
      <c r="AH8" s="45" t="s">
        <v>2</v>
      </c>
      <c r="AI8" s="46" t="s">
        <v>1</v>
      </c>
      <c r="AJ8" s="45" t="s">
        <v>2</v>
      </c>
      <c r="AK8" s="46" t="s">
        <v>1</v>
      </c>
      <c r="AL8" s="45" t="s">
        <v>2</v>
      </c>
      <c r="AM8" s="46" t="s">
        <v>1</v>
      </c>
      <c r="AN8" s="45" t="s">
        <v>2</v>
      </c>
      <c r="AO8" s="79"/>
      <c r="AP8" s="80"/>
    </row>
    <row r="9" spans="1:42" x14ac:dyDescent="0.25">
      <c r="A9" s="3">
        <v>1</v>
      </c>
      <c r="B9" s="2" t="s">
        <v>112</v>
      </c>
      <c r="C9" s="43">
        <v>28</v>
      </c>
      <c r="D9" s="43">
        <v>28</v>
      </c>
      <c r="E9" s="43">
        <v>28</v>
      </c>
      <c r="F9" s="43">
        <v>28</v>
      </c>
      <c r="G9" s="43">
        <v>17</v>
      </c>
      <c r="H9" s="43">
        <v>8</v>
      </c>
      <c r="I9" s="43">
        <v>17</v>
      </c>
      <c r="J9" s="43">
        <v>15</v>
      </c>
      <c r="K9" s="47">
        <v>13</v>
      </c>
      <c r="L9" s="47">
        <v>20</v>
      </c>
      <c r="M9" s="43">
        <v>17</v>
      </c>
      <c r="N9" s="43">
        <v>10</v>
      </c>
      <c r="O9" s="43">
        <v>21</v>
      </c>
      <c r="P9" s="43">
        <v>30</v>
      </c>
      <c r="Q9" s="43">
        <v>13</v>
      </c>
      <c r="R9" s="43">
        <v>11</v>
      </c>
      <c r="S9" s="44"/>
      <c r="T9" s="44"/>
      <c r="U9" s="43">
        <v>17</v>
      </c>
      <c r="V9" s="43">
        <v>6</v>
      </c>
      <c r="W9" s="43">
        <v>15</v>
      </c>
      <c r="X9" s="43">
        <v>11</v>
      </c>
      <c r="Y9" s="43">
        <v>20</v>
      </c>
      <c r="Z9" s="43">
        <v>24</v>
      </c>
      <c r="AA9" s="44"/>
      <c r="AB9" s="44"/>
      <c r="AC9" s="43">
        <v>18</v>
      </c>
      <c r="AD9" s="43">
        <v>10</v>
      </c>
      <c r="AE9" s="43">
        <v>20</v>
      </c>
      <c r="AF9" s="43">
        <v>20</v>
      </c>
      <c r="AG9" s="43">
        <v>29</v>
      </c>
      <c r="AH9" s="43">
        <v>10</v>
      </c>
      <c r="AI9" s="43">
        <v>15</v>
      </c>
      <c r="AJ9" s="43">
        <v>3</v>
      </c>
      <c r="AK9" s="43">
        <v>15</v>
      </c>
      <c r="AL9" s="43">
        <v>16</v>
      </c>
      <c r="AM9" s="43">
        <v>21</v>
      </c>
      <c r="AN9" s="43">
        <v>22</v>
      </c>
      <c r="AO9" s="42">
        <f>SUM(C9:AN9)</f>
        <v>596</v>
      </c>
      <c r="AP9" s="32">
        <f>AO9/17</f>
        <v>35.058823529411768</v>
      </c>
    </row>
    <row r="10" spans="1:42" x14ac:dyDescent="0.25">
      <c r="A10" s="3">
        <v>2</v>
      </c>
      <c r="B10" s="2" t="s">
        <v>113</v>
      </c>
      <c r="C10" s="43">
        <v>28</v>
      </c>
      <c r="D10" s="43">
        <v>39</v>
      </c>
      <c r="E10" s="43">
        <v>25</v>
      </c>
      <c r="F10" s="43">
        <v>39</v>
      </c>
      <c r="G10" s="43">
        <v>20</v>
      </c>
      <c r="H10" s="43">
        <v>22</v>
      </c>
      <c r="I10" s="43">
        <v>24</v>
      </c>
      <c r="J10" s="43">
        <v>23</v>
      </c>
      <c r="K10" s="43">
        <v>21</v>
      </c>
      <c r="L10" s="43">
        <v>20</v>
      </c>
      <c r="M10" s="43">
        <v>24</v>
      </c>
      <c r="N10" s="43">
        <v>10</v>
      </c>
      <c r="O10" s="43">
        <v>20</v>
      </c>
      <c r="P10" s="43">
        <v>30</v>
      </c>
      <c r="Q10" s="43">
        <v>24</v>
      </c>
      <c r="R10" s="43">
        <v>25</v>
      </c>
      <c r="S10" s="44"/>
      <c r="T10" s="44"/>
      <c r="U10" s="43">
        <v>22</v>
      </c>
      <c r="V10" s="43">
        <v>37</v>
      </c>
      <c r="W10" s="43">
        <v>28</v>
      </c>
      <c r="X10" s="43">
        <v>36</v>
      </c>
      <c r="Y10" s="43">
        <v>25</v>
      </c>
      <c r="Z10" s="43">
        <v>30</v>
      </c>
      <c r="AA10" s="44"/>
      <c r="AB10" s="44"/>
      <c r="AC10" s="43">
        <v>24</v>
      </c>
      <c r="AD10" s="43">
        <v>29</v>
      </c>
      <c r="AE10" s="43">
        <v>20</v>
      </c>
      <c r="AF10" s="43">
        <v>20</v>
      </c>
      <c r="AG10" s="43">
        <v>29</v>
      </c>
      <c r="AH10" s="43">
        <v>28</v>
      </c>
      <c r="AI10" s="43">
        <v>17</v>
      </c>
      <c r="AJ10" s="43">
        <v>4</v>
      </c>
      <c r="AK10" s="43">
        <v>14</v>
      </c>
      <c r="AL10" s="43">
        <v>22</v>
      </c>
      <c r="AM10" s="43">
        <v>27</v>
      </c>
      <c r="AN10" s="43">
        <v>40</v>
      </c>
      <c r="AO10" s="42">
        <f t="shared" ref="AO10:AO48" si="0">SUM(C10:AN10)</f>
        <v>846</v>
      </c>
      <c r="AP10" s="32">
        <f t="shared" ref="AP10:AP48" si="1">AO10/17</f>
        <v>49.764705882352942</v>
      </c>
    </row>
    <row r="11" spans="1:42" x14ac:dyDescent="0.25">
      <c r="A11" s="3">
        <v>3</v>
      </c>
      <c r="B11" s="2" t="s">
        <v>114</v>
      </c>
      <c r="C11" s="43">
        <v>28</v>
      </c>
      <c r="D11" s="43">
        <v>35</v>
      </c>
      <c r="E11" s="43">
        <v>25</v>
      </c>
      <c r="F11" s="43">
        <v>55</v>
      </c>
      <c r="G11" s="43">
        <v>22</v>
      </c>
      <c r="H11" s="43">
        <v>60</v>
      </c>
      <c r="I11" s="43">
        <v>18</v>
      </c>
      <c r="J11" s="43">
        <v>22</v>
      </c>
      <c r="K11" s="43">
        <v>20</v>
      </c>
      <c r="L11" s="43">
        <v>20</v>
      </c>
      <c r="M11" s="43">
        <v>17</v>
      </c>
      <c r="N11" s="43">
        <v>38</v>
      </c>
      <c r="O11" s="43">
        <v>28</v>
      </c>
      <c r="P11" s="43">
        <v>45</v>
      </c>
      <c r="Q11" s="43">
        <v>23</v>
      </c>
      <c r="R11" s="43">
        <v>52</v>
      </c>
      <c r="S11" s="44"/>
      <c r="T11" s="44"/>
      <c r="U11" s="43">
        <v>20</v>
      </c>
      <c r="V11" s="43">
        <v>43</v>
      </c>
      <c r="W11" s="43">
        <v>26</v>
      </c>
      <c r="X11" s="43">
        <v>35</v>
      </c>
      <c r="Y11" s="43">
        <v>25</v>
      </c>
      <c r="Z11" s="43">
        <v>31</v>
      </c>
      <c r="AA11" s="44"/>
      <c r="AB11" s="44"/>
      <c r="AC11" s="43">
        <v>18</v>
      </c>
      <c r="AD11" s="43">
        <v>37</v>
      </c>
      <c r="AE11" s="47">
        <v>20</v>
      </c>
      <c r="AF11" s="47">
        <v>30</v>
      </c>
      <c r="AG11" s="43">
        <v>26</v>
      </c>
      <c r="AH11" s="43">
        <v>32</v>
      </c>
      <c r="AI11" s="43">
        <v>20</v>
      </c>
      <c r="AJ11" s="43">
        <v>25</v>
      </c>
      <c r="AK11" s="43">
        <v>20</v>
      </c>
      <c r="AL11" s="43">
        <v>31</v>
      </c>
      <c r="AM11" s="43">
        <v>26</v>
      </c>
      <c r="AN11" s="43">
        <v>40</v>
      </c>
      <c r="AO11" s="42">
        <f t="shared" si="0"/>
        <v>1013</v>
      </c>
      <c r="AP11" s="32">
        <f t="shared" si="1"/>
        <v>59.588235294117645</v>
      </c>
    </row>
    <row r="12" spans="1:42" x14ac:dyDescent="0.25">
      <c r="A12" s="3">
        <v>4</v>
      </c>
      <c r="B12" s="2" t="s">
        <v>115</v>
      </c>
      <c r="C12" s="43">
        <v>28</v>
      </c>
      <c r="D12" s="43">
        <v>50</v>
      </c>
      <c r="E12" s="43">
        <v>27</v>
      </c>
      <c r="F12" s="43">
        <v>51</v>
      </c>
      <c r="G12" s="43">
        <v>20</v>
      </c>
      <c r="H12" s="43">
        <v>30</v>
      </c>
      <c r="I12" s="43">
        <v>24</v>
      </c>
      <c r="J12" s="43">
        <v>30</v>
      </c>
      <c r="K12" s="43">
        <v>29</v>
      </c>
      <c r="L12" s="43">
        <v>38</v>
      </c>
      <c r="M12" s="43">
        <v>23</v>
      </c>
      <c r="N12" s="43">
        <v>53</v>
      </c>
      <c r="O12" s="43">
        <v>23</v>
      </c>
      <c r="P12" s="43">
        <v>36</v>
      </c>
      <c r="Q12" s="43">
        <v>27</v>
      </c>
      <c r="R12" s="43">
        <v>26</v>
      </c>
      <c r="S12" s="44"/>
      <c r="T12" s="44"/>
      <c r="U12" s="43">
        <v>10</v>
      </c>
      <c r="V12" s="43">
        <v>44</v>
      </c>
      <c r="W12" s="43">
        <v>27</v>
      </c>
      <c r="X12" s="43">
        <v>35</v>
      </c>
      <c r="Y12" s="43">
        <v>23</v>
      </c>
      <c r="Z12" s="43">
        <v>30</v>
      </c>
      <c r="AA12" s="44"/>
      <c r="AB12" s="44"/>
      <c r="AC12" s="43">
        <v>21</v>
      </c>
      <c r="AD12" s="43">
        <v>36</v>
      </c>
      <c r="AE12" s="43">
        <v>20</v>
      </c>
      <c r="AF12" s="43">
        <v>28</v>
      </c>
      <c r="AG12" s="43">
        <v>26</v>
      </c>
      <c r="AH12" s="43">
        <v>40</v>
      </c>
      <c r="AI12" s="43">
        <v>17</v>
      </c>
      <c r="AJ12" s="43">
        <v>27</v>
      </c>
      <c r="AK12" s="43">
        <v>20</v>
      </c>
      <c r="AL12" s="43">
        <v>41</v>
      </c>
      <c r="AM12" s="43">
        <v>19</v>
      </c>
      <c r="AN12" s="43">
        <v>26</v>
      </c>
      <c r="AO12" s="42">
        <f t="shared" si="0"/>
        <v>1005</v>
      </c>
      <c r="AP12" s="32">
        <f t="shared" si="1"/>
        <v>59.117647058823529</v>
      </c>
    </row>
    <row r="13" spans="1:42" x14ac:dyDescent="0.25">
      <c r="A13" s="3">
        <v>5</v>
      </c>
      <c r="B13" s="2" t="s">
        <v>116</v>
      </c>
      <c r="C13" s="43">
        <v>28</v>
      </c>
      <c r="D13" s="43">
        <v>68</v>
      </c>
      <c r="E13" s="43">
        <v>28</v>
      </c>
      <c r="F13" s="43">
        <v>66</v>
      </c>
      <c r="G13" s="43">
        <v>22</v>
      </c>
      <c r="H13" s="43">
        <v>52</v>
      </c>
      <c r="I13" s="43">
        <v>16</v>
      </c>
      <c r="J13" s="43">
        <v>20</v>
      </c>
      <c r="K13" s="43">
        <v>20</v>
      </c>
      <c r="L13" s="43">
        <v>35</v>
      </c>
      <c r="M13" s="43">
        <v>22</v>
      </c>
      <c r="N13" s="43">
        <v>33</v>
      </c>
      <c r="O13" s="43">
        <v>24</v>
      </c>
      <c r="P13" s="43">
        <v>55</v>
      </c>
      <c r="Q13" s="43">
        <v>24</v>
      </c>
      <c r="R13" s="43">
        <v>41</v>
      </c>
      <c r="S13" s="44"/>
      <c r="T13" s="44"/>
      <c r="U13" s="43">
        <v>22</v>
      </c>
      <c r="V13" s="43">
        <v>56</v>
      </c>
      <c r="W13" s="43">
        <v>29</v>
      </c>
      <c r="X13" s="43">
        <v>57</v>
      </c>
      <c r="Y13" s="43">
        <v>27</v>
      </c>
      <c r="Z13" s="43">
        <v>53</v>
      </c>
      <c r="AA13" s="44"/>
      <c r="AB13" s="44"/>
      <c r="AC13" s="43">
        <v>24</v>
      </c>
      <c r="AD13" s="43">
        <v>39</v>
      </c>
      <c r="AE13" s="43">
        <v>25</v>
      </c>
      <c r="AF13" s="43">
        <v>40</v>
      </c>
      <c r="AG13" s="43">
        <v>26</v>
      </c>
      <c r="AH13" s="43">
        <v>37</v>
      </c>
      <c r="AI13" s="43">
        <v>21</v>
      </c>
      <c r="AJ13" s="43">
        <v>33</v>
      </c>
      <c r="AK13" s="43">
        <v>22</v>
      </c>
      <c r="AL13" s="43">
        <v>53</v>
      </c>
      <c r="AM13" s="43">
        <v>23</v>
      </c>
      <c r="AN13" s="43">
        <v>68</v>
      </c>
      <c r="AO13" s="42">
        <f t="shared" si="0"/>
        <v>1209</v>
      </c>
      <c r="AP13" s="32">
        <f t="shared" si="1"/>
        <v>71.117647058823536</v>
      </c>
    </row>
    <row r="14" spans="1:42" x14ac:dyDescent="0.25">
      <c r="A14" s="3">
        <v>6</v>
      </c>
      <c r="B14" s="2" t="s">
        <v>117</v>
      </c>
      <c r="C14" s="43">
        <v>28</v>
      </c>
      <c r="D14" s="43">
        <v>18</v>
      </c>
      <c r="E14" s="43">
        <v>22</v>
      </c>
      <c r="F14" s="43">
        <v>21</v>
      </c>
      <c r="G14" s="43">
        <v>20</v>
      </c>
      <c r="H14" s="43">
        <v>5</v>
      </c>
      <c r="I14" s="43">
        <v>16</v>
      </c>
      <c r="J14" s="43">
        <v>32</v>
      </c>
      <c r="K14" s="43">
        <v>20</v>
      </c>
      <c r="L14" s="43">
        <v>20</v>
      </c>
      <c r="M14" s="43">
        <v>14</v>
      </c>
      <c r="N14" s="43">
        <v>22</v>
      </c>
      <c r="O14" s="43">
        <v>17</v>
      </c>
      <c r="P14" s="43">
        <v>13</v>
      </c>
      <c r="Q14" s="43">
        <v>18</v>
      </c>
      <c r="R14" s="43">
        <v>14</v>
      </c>
      <c r="S14" s="44"/>
      <c r="T14" s="44"/>
      <c r="U14" s="43">
        <v>18</v>
      </c>
      <c r="V14" s="43">
        <v>1</v>
      </c>
      <c r="W14" s="43">
        <v>17</v>
      </c>
      <c r="X14" s="43">
        <v>24</v>
      </c>
      <c r="Y14" s="43">
        <v>20</v>
      </c>
      <c r="Z14" s="43">
        <v>20</v>
      </c>
      <c r="AA14" s="44"/>
      <c r="AB14" s="44"/>
      <c r="AC14" s="43">
        <v>18</v>
      </c>
      <c r="AD14" s="43">
        <v>25</v>
      </c>
      <c r="AE14" s="43">
        <v>20</v>
      </c>
      <c r="AF14" s="43">
        <v>18</v>
      </c>
      <c r="AG14" s="43">
        <v>29</v>
      </c>
      <c r="AH14" s="43">
        <v>7</v>
      </c>
      <c r="AI14" s="43">
        <v>14</v>
      </c>
      <c r="AJ14" s="43">
        <v>5</v>
      </c>
      <c r="AK14" s="43">
        <v>20</v>
      </c>
      <c r="AL14" s="43">
        <v>17</v>
      </c>
      <c r="AM14" s="43">
        <v>12</v>
      </c>
      <c r="AN14" s="43">
        <v>7</v>
      </c>
      <c r="AO14" s="42">
        <f t="shared" si="0"/>
        <v>592</v>
      </c>
      <c r="AP14" s="32">
        <f t="shared" si="1"/>
        <v>34.823529411764703</v>
      </c>
    </row>
    <row r="15" spans="1:42" x14ac:dyDescent="0.25">
      <c r="A15" s="3">
        <v>7</v>
      </c>
      <c r="B15" s="2" t="s">
        <v>188</v>
      </c>
      <c r="C15" s="43">
        <v>28</v>
      </c>
      <c r="D15" s="43">
        <v>30</v>
      </c>
      <c r="E15" s="43">
        <v>25</v>
      </c>
      <c r="F15" s="43">
        <v>37</v>
      </c>
      <c r="G15" s="43">
        <v>25</v>
      </c>
      <c r="H15" s="43">
        <v>42</v>
      </c>
      <c r="I15" s="43">
        <v>14</v>
      </c>
      <c r="J15" s="43">
        <v>42</v>
      </c>
      <c r="K15" s="43">
        <v>27</v>
      </c>
      <c r="L15" s="43">
        <v>40</v>
      </c>
      <c r="M15" s="43">
        <v>20</v>
      </c>
      <c r="N15" s="43">
        <v>22</v>
      </c>
      <c r="O15" s="43">
        <v>18</v>
      </c>
      <c r="P15" s="43">
        <v>45</v>
      </c>
      <c r="Q15" s="43">
        <v>19</v>
      </c>
      <c r="R15" s="43">
        <v>18</v>
      </c>
      <c r="S15" s="44"/>
      <c r="T15" s="44"/>
      <c r="U15" s="43">
        <v>11</v>
      </c>
      <c r="V15" s="43">
        <v>41</v>
      </c>
      <c r="W15" s="43">
        <v>23</v>
      </c>
      <c r="X15" s="43">
        <v>41</v>
      </c>
      <c r="Y15" s="43">
        <v>27</v>
      </c>
      <c r="Z15" s="43">
        <v>43</v>
      </c>
      <c r="AA15" s="44"/>
      <c r="AB15" s="44"/>
      <c r="AC15" s="43">
        <v>17</v>
      </c>
      <c r="AD15" s="43">
        <v>34</v>
      </c>
      <c r="AE15" s="43">
        <v>20</v>
      </c>
      <c r="AF15" s="43">
        <v>48</v>
      </c>
      <c r="AG15" s="43">
        <v>27</v>
      </c>
      <c r="AH15" s="43">
        <v>28</v>
      </c>
      <c r="AI15" s="43">
        <v>15</v>
      </c>
      <c r="AJ15" s="43">
        <v>38</v>
      </c>
      <c r="AK15" s="43">
        <v>15</v>
      </c>
      <c r="AL15" s="43">
        <v>18</v>
      </c>
      <c r="AM15" s="43">
        <v>22</v>
      </c>
      <c r="AN15" s="43">
        <v>16</v>
      </c>
      <c r="AO15" s="42">
        <f t="shared" si="0"/>
        <v>936</v>
      </c>
      <c r="AP15" s="32">
        <f t="shared" si="1"/>
        <v>55.058823529411768</v>
      </c>
    </row>
    <row r="16" spans="1:42" x14ac:dyDescent="0.25">
      <c r="A16" s="3">
        <v>8</v>
      </c>
      <c r="B16" s="2" t="s">
        <v>118</v>
      </c>
      <c r="C16" s="43">
        <v>28</v>
      </c>
      <c r="D16" s="43">
        <v>39</v>
      </c>
      <c r="E16" s="43">
        <v>22</v>
      </c>
      <c r="F16" s="43">
        <v>24</v>
      </c>
      <c r="G16" s="43">
        <v>28</v>
      </c>
      <c r="H16" s="43">
        <v>4</v>
      </c>
      <c r="I16" s="43">
        <v>15</v>
      </c>
      <c r="J16" s="43">
        <v>15</v>
      </c>
      <c r="K16" s="43">
        <v>20</v>
      </c>
      <c r="L16" s="43">
        <v>20</v>
      </c>
      <c r="M16" s="43">
        <v>21</v>
      </c>
      <c r="N16" s="43">
        <v>26</v>
      </c>
      <c r="O16" s="43">
        <v>18</v>
      </c>
      <c r="P16" s="43">
        <v>16</v>
      </c>
      <c r="Q16" s="43">
        <v>18</v>
      </c>
      <c r="R16" s="43">
        <v>13</v>
      </c>
      <c r="S16" s="44"/>
      <c r="T16" s="44"/>
      <c r="U16" s="43">
        <v>19</v>
      </c>
      <c r="V16" s="43">
        <v>8</v>
      </c>
      <c r="W16" s="43">
        <v>23</v>
      </c>
      <c r="X16" s="43">
        <v>9</v>
      </c>
      <c r="Y16" s="43">
        <v>20</v>
      </c>
      <c r="Z16" s="43">
        <v>20</v>
      </c>
      <c r="AA16" s="44"/>
      <c r="AB16" s="44"/>
      <c r="AC16" s="43">
        <v>18</v>
      </c>
      <c r="AD16" s="43">
        <v>22</v>
      </c>
      <c r="AE16" s="43">
        <v>20</v>
      </c>
      <c r="AF16" s="43">
        <v>14</v>
      </c>
      <c r="AG16" s="43">
        <v>29</v>
      </c>
      <c r="AH16" s="43">
        <v>20</v>
      </c>
      <c r="AI16" s="43">
        <v>18</v>
      </c>
      <c r="AJ16" s="43">
        <v>14</v>
      </c>
      <c r="AK16" s="43">
        <v>23</v>
      </c>
      <c r="AL16" s="43">
        <v>25</v>
      </c>
      <c r="AM16" s="43">
        <v>13</v>
      </c>
      <c r="AN16" s="43">
        <v>27</v>
      </c>
      <c r="AO16" s="42">
        <f t="shared" si="0"/>
        <v>669</v>
      </c>
      <c r="AP16" s="32">
        <f t="shared" si="1"/>
        <v>39.352941176470587</v>
      </c>
    </row>
    <row r="17" spans="1:42" x14ac:dyDescent="0.25">
      <c r="A17" s="3">
        <v>9</v>
      </c>
      <c r="B17" s="2" t="s">
        <v>119</v>
      </c>
      <c r="C17" s="43">
        <v>28</v>
      </c>
      <c r="D17" s="43">
        <v>63</v>
      </c>
      <c r="E17" s="43">
        <v>27</v>
      </c>
      <c r="F17" s="43">
        <v>53</v>
      </c>
      <c r="G17" s="43">
        <v>27</v>
      </c>
      <c r="H17" s="43">
        <v>46</v>
      </c>
      <c r="I17" s="43">
        <v>20</v>
      </c>
      <c r="J17" s="43">
        <v>40</v>
      </c>
      <c r="K17" s="43">
        <v>26</v>
      </c>
      <c r="L17" s="43">
        <v>30</v>
      </c>
      <c r="M17" s="43">
        <v>17</v>
      </c>
      <c r="N17" s="43">
        <v>16</v>
      </c>
      <c r="O17" s="43">
        <v>21</v>
      </c>
      <c r="P17" s="43">
        <v>49</v>
      </c>
      <c r="Q17" s="43">
        <v>28</v>
      </c>
      <c r="R17" s="43">
        <v>40</v>
      </c>
      <c r="S17" s="44"/>
      <c r="T17" s="44"/>
      <c r="U17" s="43">
        <v>20</v>
      </c>
      <c r="V17" s="43">
        <v>50</v>
      </c>
      <c r="W17" s="43">
        <v>30</v>
      </c>
      <c r="X17" s="43">
        <v>54</v>
      </c>
      <c r="Y17" s="43">
        <v>29</v>
      </c>
      <c r="Z17" s="43">
        <v>53</v>
      </c>
      <c r="AA17" s="44"/>
      <c r="AB17" s="44"/>
      <c r="AC17" s="43">
        <v>23</v>
      </c>
      <c r="AD17" s="43">
        <v>38</v>
      </c>
      <c r="AE17" s="43">
        <v>20</v>
      </c>
      <c r="AF17" s="43">
        <v>25</v>
      </c>
      <c r="AG17" s="43">
        <v>26</v>
      </c>
      <c r="AH17" s="43">
        <v>35</v>
      </c>
      <c r="AI17" s="43">
        <v>19</v>
      </c>
      <c r="AJ17" s="43">
        <v>24</v>
      </c>
      <c r="AK17" s="43">
        <v>23</v>
      </c>
      <c r="AL17" s="43">
        <v>35</v>
      </c>
      <c r="AM17" s="43">
        <v>24</v>
      </c>
      <c r="AN17" s="43">
        <v>14</v>
      </c>
      <c r="AO17" s="42">
        <f t="shared" si="0"/>
        <v>1073</v>
      </c>
      <c r="AP17" s="32">
        <f t="shared" si="1"/>
        <v>63.117647058823529</v>
      </c>
    </row>
    <row r="18" spans="1:42" x14ac:dyDescent="0.25">
      <c r="A18" s="3">
        <v>10</v>
      </c>
      <c r="B18" s="2" t="s">
        <v>120</v>
      </c>
      <c r="C18" s="43">
        <v>28</v>
      </c>
      <c r="D18" s="43">
        <v>5</v>
      </c>
      <c r="E18" s="43">
        <v>17</v>
      </c>
      <c r="F18" s="43">
        <v>5</v>
      </c>
      <c r="G18" s="43">
        <v>26</v>
      </c>
      <c r="H18" s="43">
        <v>5</v>
      </c>
      <c r="I18" s="43">
        <v>14</v>
      </c>
      <c r="J18" s="43">
        <v>15</v>
      </c>
      <c r="K18" s="43">
        <v>10</v>
      </c>
      <c r="L18" s="43">
        <v>20</v>
      </c>
      <c r="M18" s="43">
        <v>14</v>
      </c>
      <c r="N18" s="43">
        <v>10</v>
      </c>
      <c r="O18" s="43">
        <v>18</v>
      </c>
      <c r="P18" s="43">
        <v>16</v>
      </c>
      <c r="Q18" s="43">
        <v>17</v>
      </c>
      <c r="R18" s="43">
        <v>9</v>
      </c>
      <c r="S18" s="44"/>
      <c r="T18" s="44"/>
      <c r="U18" s="43">
        <v>15</v>
      </c>
      <c r="V18" s="43">
        <v>2</v>
      </c>
      <c r="W18" s="43">
        <v>17</v>
      </c>
      <c r="X18" s="43">
        <v>1</v>
      </c>
      <c r="Y18" s="43">
        <v>20</v>
      </c>
      <c r="Z18" s="43">
        <v>20</v>
      </c>
      <c r="AA18" s="44"/>
      <c r="AB18" s="44"/>
      <c r="AC18" s="43">
        <v>11</v>
      </c>
      <c r="AD18" s="43">
        <v>2</v>
      </c>
      <c r="AE18" s="43">
        <v>15</v>
      </c>
      <c r="AF18" s="43">
        <v>5</v>
      </c>
      <c r="AG18" s="43">
        <v>30</v>
      </c>
      <c r="AH18" s="43">
        <v>1</v>
      </c>
      <c r="AI18" s="43">
        <v>12</v>
      </c>
      <c r="AJ18" s="43">
        <v>5</v>
      </c>
      <c r="AK18" s="43">
        <v>8</v>
      </c>
      <c r="AL18" s="43">
        <v>9</v>
      </c>
      <c r="AM18" s="43">
        <v>9</v>
      </c>
      <c r="AN18" s="43">
        <v>1</v>
      </c>
      <c r="AO18" s="42">
        <f t="shared" si="0"/>
        <v>412</v>
      </c>
      <c r="AP18" s="32">
        <f t="shared" si="1"/>
        <v>24.235294117647058</v>
      </c>
    </row>
    <row r="19" spans="1:42" x14ac:dyDescent="0.25">
      <c r="A19" s="3">
        <v>11</v>
      </c>
      <c r="B19" s="2" t="s">
        <v>121</v>
      </c>
      <c r="C19" s="43">
        <v>28</v>
      </c>
      <c r="D19" s="43">
        <v>27</v>
      </c>
      <c r="E19" s="43">
        <v>18</v>
      </c>
      <c r="F19" s="43">
        <v>2</v>
      </c>
      <c r="G19" s="43">
        <v>25</v>
      </c>
      <c r="H19" s="43">
        <v>18</v>
      </c>
      <c r="I19" s="43">
        <v>14</v>
      </c>
      <c r="J19" s="43">
        <v>15</v>
      </c>
      <c r="K19" s="43">
        <v>20</v>
      </c>
      <c r="L19" s="43">
        <v>20</v>
      </c>
      <c r="M19" s="43">
        <v>18</v>
      </c>
      <c r="N19" s="43">
        <v>10</v>
      </c>
      <c r="O19" s="43">
        <v>18</v>
      </c>
      <c r="P19" s="43">
        <v>11</v>
      </c>
      <c r="Q19" s="43">
        <v>18</v>
      </c>
      <c r="R19" s="43">
        <v>15</v>
      </c>
      <c r="S19" s="44"/>
      <c r="T19" s="44"/>
      <c r="U19" s="43">
        <v>17</v>
      </c>
      <c r="V19" s="43">
        <v>7</v>
      </c>
      <c r="W19" s="43">
        <v>22</v>
      </c>
      <c r="X19" s="43">
        <v>15</v>
      </c>
      <c r="Y19" s="43">
        <v>20</v>
      </c>
      <c r="Z19" s="43">
        <v>25</v>
      </c>
      <c r="AA19" s="44"/>
      <c r="AB19" s="44"/>
      <c r="AC19" s="43">
        <v>14</v>
      </c>
      <c r="AD19" s="43">
        <v>12</v>
      </c>
      <c r="AE19" s="43">
        <v>18</v>
      </c>
      <c r="AF19" s="43">
        <v>5</v>
      </c>
      <c r="AG19" s="43">
        <v>30</v>
      </c>
      <c r="AH19" s="43">
        <v>7</v>
      </c>
      <c r="AI19" s="43">
        <v>15</v>
      </c>
      <c r="AJ19" s="43">
        <v>5</v>
      </c>
      <c r="AK19" s="43">
        <v>20</v>
      </c>
      <c r="AL19" s="43">
        <v>15</v>
      </c>
      <c r="AM19" s="43">
        <v>19</v>
      </c>
      <c r="AN19" s="43">
        <v>27</v>
      </c>
      <c r="AO19" s="42">
        <f t="shared" si="0"/>
        <v>570</v>
      </c>
      <c r="AP19" s="32">
        <f t="shared" si="1"/>
        <v>33.529411764705884</v>
      </c>
    </row>
    <row r="20" spans="1:42" x14ac:dyDescent="0.25">
      <c r="A20" s="3">
        <v>12</v>
      </c>
      <c r="B20" s="2" t="s">
        <v>122</v>
      </c>
      <c r="C20" s="43">
        <v>28</v>
      </c>
      <c r="D20" s="43">
        <v>28</v>
      </c>
      <c r="E20" s="43">
        <v>19</v>
      </c>
      <c r="F20" s="43">
        <v>14</v>
      </c>
      <c r="G20" s="43">
        <v>27</v>
      </c>
      <c r="H20" s="43">
        <v>7</v>
      </c>
      <c r="I20" s="43">
        <v>16</v>
      </c>
      <c r="J20" s="43">
        <v>24</v>
      </c>
      <c r="K20" s="43">
        <v>20</v>
      </c>
      <c r="L20" s="43">
        <v>20</v>
      </c>
      <c r="M20" s="43">
        <v>19</v>
      </c>
      <c r="N20" s="43">
        <v>12</v>
      </c>
      <c r="O20" s="43">
        <v>18</v>
      </c>
      <c r="P20" s="43">
        <v>24</v>
      </c>
      <c r="Q20" s="43">
        <v>21</v>
      </c>
      <c r="R20" s="43">
        <v>10</v>
      </c>
      <c r="S20" s="44"/>
      <c r="T20" s="44"/>
      <c r="U20" s="43">
        <v>16</v>
      </c>
      <c r="V20" s="43">
        <v>4</v>
      </c>
      <c r="W20" s="43">
        <v>21</v>
      </c>
      <c r="X20" s="43">
        <v>13</v>
      </c>
      <c r="Y20" s="43">
        <v>25</v>
      </c>
      <c r="Z20" s="43">
        <v>25</v>
      </c>
      <c r="AA20" s="44"/>
      <c r="AB20" s="44"/>
      <c r="AC20" s="43">
        <v>14</v>
      </c>
      <c r="AD20" s="43">
        <v>23</v>
      </c>
      <c r="AE20" s="43">
        <v>18</v>
      </c>
      <c r="AF20" s="43">
        <v>18</v>
      </c>
      <c r="AG20" s="43">
        <v>30</v>
      </c>
      <c r="AH20" s="43">
        <v>10</v>
      </c>
      <c r="AI20" s="43">
        <v>16</v>
      </c>
      <c r="AJ20" s="43">
        <v>7</v>
      </c>
      <c r="AK20" s="43">
        <v>22</v>
      </c>
      <c r="AL20" s="43">
        <v>23</v>
      </c>
      <c r="AM20" s="43">
        <v>14</v>
      </c>
      <c r="AN20" s="43">
        <v>38</v>
      </c>
      <c r="AO20" s="42">
        <f t="shared" si="0"/>
        <v>644</v>
      </c>
      <c r="AP20" s="32">
        <f t="shared" si="1"/>
        <v>37.882352941176471</v>
      </c>
    </row>
    <row r="21" spans="1:42" x14ac:dyDescent="0.25">
      <c r="A21" s="3">
        <v>13</v>
      </c>
      <c r="B21" s="2" t="s">
        <v>123</v>
      </c>
      <c r="C21" s="43">
        <v>28</v>
      </c>
      <c r="D21" s="43">
        <v>36</v>
      </c>
      <c r="E21" s="43">
        <v>20</v>
      </c>
      <c r="F21" s="43">
        <v>39</v>
      </c>
      <c r="G21" s="43">
        <v>26</v>
      </c>
      <c r="H21" s="43">
        <v>15</v>
      </c>
      <c r="I21" s="43">
        <v>14</v>
      </c>
      <c r="J21" s="43">
        <v>35</v>
      </c>
      <c r="K21" s="43">
        <v>29</v>
      </c>
      <c r="L21" s="43">
        <v>53</v>
      </c>
      <c r="M21" s="43">
        <v>17</v>
      </c>
      <c r="N21" s="43">
        <v>15</v>
      </c>
      <c r="O21" s="43">
        <v>20</v>
      </c>
      <c r="P21" s="43">
        <v>45</v>
      </c>
      <c r="Q21" s="43">
        <v>19</v>
      </c>
      <c r="R21" s="43">
        <v>13</v>
      </c>
      <c r="S21" s="44"/>
      <c r="T21" s="44"/>
      <c r="U21" s="43">
        <v>18</v>
      </c>
      <c r="V21" s="43">
        <v>22</v>
      </c>
      <c r="W21" s="43">
        <v>26</v>
      </c>
      <c r="X21" s="43">
        <v>32</v>
      </c>
      <c r="Y21" s="43">
        <v>25</v>
      </c>
      <c r="Z21" s="43">
        <v>35</v>
      </c>
      <c r="AA21" s="44"/>
      <c r="AB21" s="44"/>
      <c r="AC21" s="43">
        <v>18</v>
      </c>
      <c r="AD21" s="43">
        <v>35</v>
      </c>
      <c r="AE21" s="43">
        <v>17</v>
      </c>
      <c r="AF21" s="43">
        <v>37</v>
      </c>
      <c r="AG21" s="43">
        <v>29</v>
      </c>
      <c r="AH21" s="43">
        <v>22</v>
      </c>
      <c r="AI21" s="43">
        <v>16</v>
      </c>
      <c r="AJ21" s="43">
        <v>15</v>
      </c>
      <c r="AK21" s="43">
        <v>23</v>
      </c>
      <c r="AL21" s="43">
        <v>25</v>
      </c>
      <c r="AM21" s="43">
        <v>19</v>
      </c>
      <c r="AN21" s="43">
        <v>35</v>
      </c>
      <c r="AO21" s="42">
        <f t="shared" si="0"/>
        <v>873</v>
      </c>
      <c r="AP21" s="32">
        <f t="shared" si="1"/>
        <v>51.352941176470587</v>
      </c>
    </row>
    <row r="22" spans="1:42" x14ac:dyDescent="0.25">
      <c r="A22" s="3">
        <v>14</v>
      </c>
      <c r="B22" s="2" t="s">
        <v>124</v>
      </c>
      <c r="C22" s="43">
        <v>28</v>
      </c>
      <c r="D22" s="43">
        <v>36</v>
      </c>
      <c r="E22" s="43">
        <v>27</v>
      </c>
      <c r="F22" s="43">
        <v>56</v>
      </c>
      <c r="G22" s="43">
        <v>25</v>
      </c>
      <c r="H22" s="43">
        <v>29</v>
      </c>
      <c r="I22" s="43">
        <v>17</v>
      </c>
      <c r="J22" s="43">
        <v>30</v>
      </c>
      <c r="K22" s="43">
        <v>21</v>
      </c>
      <c r="L22" s="43">
        <v>34</v>
      </c>
      <c r="M22" s="43">
        <v>18</v>
      </c>
      <c r="N22" s="43">
        <v>12</v>
      </c>
      <c r="O22" s="43">
        <v>22</v>
      </c>
      <c r="P22" s="43">
        <v>28</v>
      </c>
      <c r="Q22" s="43">
        <v>22</v>
      </c>
      <c r="R22" s="43">
        <v>21</v>
      </c>
      <c r="S22" s="44"/>
      <c r="T22" s="44"/>
      <c r="U22" s="43">
        <v>20</v>
      </c>
      <c r="V22" s="43">
        <v>12</v>
      </c>
      <c r="W22" s="43">
        <v>27</v>
      </c>
      <c r="X22" s="43">
        <v>33</v>
      </c>
      <c r="Y22" s="43">
        <v>26</v>
      </c>
      <c r="Z22" s="43">
        <v>30</v>
      </c>
      <c r="AA22" s="44"/>
      <c r="AB22" s="44"/>
      <c r="AC22" s="43">
        <v>16</v>
      </c>
      <c r="AD22" s="43">
        <v>24</v>
      </c>
      <c r="AE22" s="43">
        <v>19</v>
      </c>
      <c r="AF22" s="43">
        <v>40</v>
      </c>
      <c r="AG22" s="43">
        <v>28</v>
      </c>
      <c r="AH22" s="43">
        <v>18</v>
      </c>
      <c r="AI22" s="43">
        <v>17</v>
      </c>
      <c r="AJ22" s="43">
        <v>15</v>
      </c>
      <c r="AK22" s="43">
        <v>21</v>
      </c>
      <c r="AL22" s="43">
        <v>19</v>
      </c>
      <c r="AM22" s="43">
        <v>21</v>
      </c>
      <c r="AN22" s="43">
        <v>41</v>
      </c>
      <c r="AO22" s="42">
        <f t="shared" si="0"/>
        <v>853</v>
      </c>
      <c r="AP22" s="32">
        <f t="shared" si="1"/>
        <v>50.176470588235297</v>
      </c>
    </row>
    <row r="23" spans="1:42" x14ac:dyDescent="0.25">
      <c r="A23" s="3">
        <v>15</v>
      </c>
      <c r="B23" s="2" t="s">
        <v>125</v>
      </c>
      <c r="C23" s="43">
        <v>28</v>
      </c>
      <c r="D23" s="43">
        <v>21</v>
      </c>
      <c r="E23" s="43">
        <v>21</v>
      </c>
      <c r="F23" s="43">
        <v>29</v>
      </c>
      <c r="G23" s="43">
        <v>20</v>
      </c>
      <c r="H23" s="43">
        <v>5</v>
      </c>
      <c r="I23" s="43">
        <v>16</v>
      </c>
      <c r="J23" s="43">
        <v>20</v>
      </c>
      <c r="K23" s="43">
        <v>20</v>
      </c>
      <c r="L23" s="43">
        <v>20</v>
      </c>
      <c r="M23" s="43">
        <v>17</v>
      </c>
      <c r="N23" s="43">
        <v>12</v>
      </c>
      <c r="O23" s="43">
        <v>18</v>
      </c>
      <c r="P23" s="43">
        <v>16</v>
      </c>
      <c r="Q23" s="43">
        <v>20</v>
      </c>
      <c r="R23" s="43">
        <v>20</v>
      </c>
      <c r="S23" s="44"/>
      <c r="T23" s="44"/>
      <c r="U23" s="43">
        <v>13</v>
      </c>
      <c r="V23" s="43">
        <v>32</v>
      </c>
      <c r="W23" s="43">
        <v>25</v>
      </c>
      <c r="X23" s="43">
        <v>26</v>
      </c>
      <c r="Y23" s="43">
        <v>20</v>
      </c>
      <c r="Z23" s="43">
        <v>28</v>
      </c>
      <c r="AA23" s="44"/>
      <c r="AB23" s="44"/>
      <c r="AC23" s="43">
        <v>16</v>
      </c>
      <c r="AD23" s="43">
        <v>24</v>
      </c>
      <c r="AE23" s="43">
        <v>19</v>
      </c>
      <c r="AF23" s="43">
        <v>10</v>
      </c>
      <c r="AG23" s="43">
        <v>29</v>
      </c>
      <c r="AH23" s="43">
        <v>0</v>
      </c>
      <c r="AI23" s="43">
        <v>13</v>
      </c>
      <c r="AJ23" s="43">
        <v>5</v>
      </c>
      <c r="AK23" s="43">
        <v>19</v>
      </c>
      <c r="AL23" s="43">
        <v>8</v>
      </c>
      <c r="AM23" s="43">
        <v>25</v>
      </c>
      <c r="AN23" s="43">
        <v>17</v>
      </c>
      <c r="AO23" s="42">
        <f t="shared" si="0"/>
        <v>632</v>
      </c>
      <c r="AP23" s="32">
        <f t="shared" si="1"/>
        <v>37.176470588235297</v>
      </c>
    </row>
    <row r="24" spans="1:42" x14ac:dyDescent="0.25">
      <c r="A24" s="3">
        <v>16</v>
      </c>
      <c r="B24" s="2" t="s">
        <v>126</v>
      </c>
      <c r="C24" s="43">
        <v>28</v>
      </c>
      <c r="D24" s="43">
        <v>57</v>
      </c>
      <c r="E24" s="43">
        <v>25</v>
      </c>
      <c r="F24" s="43">
        <v>60</v>
      </c>
      <c r="G24" s="43">
        <v>22</v>
      </c>
      <c r="H24" s="43">
        <v>39</v>
      </c>
      <c r="I24" s="43">
        <v>19</v>
      </c>
      <c r="J24" s="43">
        <v>15</v>
      </c>
      <c r="K24" s="43">
        <v>24</v>
      </c>
      <c r="L24" s="43">
        <v>40</v>
      </c>
      <c r="M24" s="43">
        <v>23</v>
      </c>
      <c r="N24" s="43">
        <v>55</v>
      </c>
      <c r="O24" s="43">
        <v>22</v>
      </c>
      <c r="P24" s="43">
        <v>43</v>
      </c>
      <c r="Q24" s="43">
        <v>29</v>
      </c>
      <c r="R24" s="43">
        <v>33</v>
      </c>
      <c r="S24" s="44"/>
      <c r="T24" s="44"/>
      <c r="U24" s="43">
        <v>21</v>
      </c>
      <c r="V24" s="43">
        <v>46</v>
      </c>
      <c r="W24" s="43">
        <v>29</v>
      </c>
      <c r="X24" s="43">
        <v>50</v>
      </c>
      <c r="Y24" s="43">
        <v>25</v>
      </c>
      <c r="Z24" s="43">
        <v>40</v>
      </c>
      <c r="AA24" s="44"/>
      <c r="AB24" s="44"/>
      <c r="AC24" s="43">
        <v>20</v>
      </c>
      <c r="AD24" s="43">
        <v>52</v>
      </c>
      <c r="AE24" s="43">
        <v>12</v>
      </c>
      <c r="AF24" s="43">
        <v>58</v>
      </c>
      <c r="AG24" s="43">
        <v>27</v>
      </c>
      <c r="AH24" s="43">
        <v>30</v>
      </c>
      <c r="AI24" s="43">
        <v>16</v>
      </c>
      <c r="AJ24" s="43">
        <v>17</v>
      </c>
      <c r="AK24" s="43">
        <v>21</v>
      </c>
      <c r="AL24" s="43">
        <v>47</v>
      </c>
      <c r="AM24" s="43">
        <v>24</v>
      </c>
      <c r="AN24" s="43">
        <v>52</v>
      </c>
      <c r="AO24" s="42">
        <f t="shared" si="0"/>
        <v>1121</v>
      </c>
      <c r="AP24" s="32">
        <f t="shared" si="1"/>
        <v>65.941176470588232</v>
      </c>
    </row>
    <row r="25" spans="1:42" x14ac:dyDescent="0.25">
      <c r="A25" s="3">
        <v>17</v>
      </c>
      <c r="B25" s="2" t="s">
        <v>127</v>
      </c>
      <c r="C25" s="43">
        <v>28</v>
      </c>
      <c r="D25" s="43">
        <v>26</v>
      </c>
      <c r="E25" s="43">
        <v>28</v>
      </c>
      <c r="F25" s="43">
        <v>45</v>
      </c>
      <c r="G25" s="43">
        <v>23</v>
      </c>
      <c r="H25" s="43">
        <v>39</v>
      </c>
      <c r="I25" s="43">
        <v>20</v>
      </c>
      <c r="J25" s="43">
        <v>38</v>
      </c>
      <c r="K25" s="43">
        <v>20</v>
      </c>
      <c r="L25" s="43">
        <v>20</v>
      </c>
      <c r="M25" s="43">
        <v>17</v>
      </c>
      <c r="N25" s="43">
        <v>10</v>
      </c>
      <c r="O25" s="43">
        <v>28</v>
      </c>
      <c r="P25" s="43">
        <v>34</v>
      </c>
      <c r="Q25" s="43">
        <v>9</v>
      </c>
      <c r="R25" s="43">
        <v>25</v>
      </c>
      <c r="S25" s="44"/>
      <c r="T25" s="44"/>
      <c r="U25" s="43">
        <v>20</v>
      </c>
      <c r="V25" s="43">
        <v>30</v>
      </c>
      <c r="W25" s="43">
        <v>20</v>
      </c>
      <c r="X25" s="43">
        <v>9</v>
      </c>
      <c r="Y25" s="43">
        <v>22</v>
      </c>
      <c r="Z25" s="43">
        <v>38</v>
      </c>
      <c r="AA25" s="44"/>
      <c r="AB25" s="44"/>
      <c r="AC25" s="43">
        <v>16</v>
      </c>
      <c r="AD25" s="43">
        <v>24</v>
      </c>
      <c r="AE25" s="43">
        <v>19</v>
      </c>
      <c r="AF25" s="43">
        <v>17</v>
      </c>
      <c r="AG25" s="43">
        <v>28</v>
      </c>
      <c r="AH25" s="43">
        <v>26</v>
      </c>
      <c r="AI25" s="43">
        <v>19</v>
      </c>
      <c r="AJ25" s="43">
        <v>31</v>
      </c>
      <c r="AK25" s="43">
        <v>13</v>
      </c>
      <c r="AL25" s="43">
        <v>28</v>
      </c>
      <c r="AM25" s="43">
        <v>11</v>
      </c>
      <c r="AN25" s="43">
        <v>21</v>
      </c>
      <c r="AO25" s="42">
        <f t="shared" si="0"/>
        <v>802</v>
      </c>
      <c r="AP25" s="32">
        <f t="shared" si="1"/>
        <v>47.176470588235297</v>
      </c>
    </row>
    <row r="26" spans="1:42" x14ac:dyDescent="0.25">
      <c r="A26" s="3">
        <v>18</v>
      </c>
      <c r="B26" s="2" t="s">
        <v>128</v>
      </c>
      <c r="C26" s="43">
        <v>28</v>
      </c>
      <c r="D26" s="43">
        <v>55</v>
      </c>
      <c r="E26" s="43">
        <v>29</v>
      </c>
      <c r="F26" s="43">
        <v>63</v>
      </c>
      <c r="G26" s="43">
        <v>23</v>
      </c>
      <c r="H26" s="43">
        <v>34</v>
      </c>
      <c r="I26" s="43">
        <v>22</v>
      </c>
      <c r="J26" s="43">
        <v>40</v>
      </c>
      <c r="K26" s="43">
        <v>25</v>
      </c>
      <c r="L26" s="43">
        <v>45</v>
      </c>
      <c r="M26" s="43">
        <v>28</v>
      </c>
      <c r="N26" s="43">
        <v>32</v>
      </c>
      <c r="O26" s="43">
        <v>19</v>
      </c>
      <c r="P26" s="43">
        <v>42</v>
      </c>
      <c r="Q26" s="43">
        <v>30</v>
      </c>
      <c r="R26" s="43">
        <v>46</v>
      </c>
      <c r="S26" s="44"/>
      <c r="T26" s="44"/>
      <c r="U26" s="43">
        <v>19</v>
      </c>
      <c r="V26" s="43">
        <v>36</v>
      </c>
      <c r="W26" s="43">
        <v>24</v>
      </c>
      <c r="X26" s="43">
        <v>52</v>
      </c>
      <c r="Y26" s="43">
        <v>25</v>
      </c>
      <c r="Z26" s="43">
        <v>40</v>
      </c>
      <c r="AA26" s="44"/>
      <c r="AB26" s="44"/>
      <c r="AC26" s="43">
        <v>22</v>
      </c>
      <c r="AD26" s="43">
        <v>50</v>
      </c>
      <c r="AE26" s="43">
        <v>23</v>
      </c>
      <c r="AF26" s="43">
        <v>40</v>
      </c>
      <c r="AG26" s="43">
        <v>27</v>
      </c>
      <c r="AH26" s="43">
        <v>45</v>
      </c>
      <c r="AI26" s="43">
        <v>20</v>
      </c>
      <c r="AJ26" s="43">
        <v>18</v>
      </c>
      <c r="AK26" s="43">
        <v>24</v>
      </c>
      <c r="AL26" s="43">
        <v>48</v>
      </c>
      <c r="AM26" s="43">
        <v>29</v>
      </c>
      <c r="AN26" s="43">
        <v>36</v>
      </c>
      <c r="AO26" s="42">
        <f t="shared" si="0"/>
        <v>1139</v>
      </c>
      <c r="AP26" s="32">
        <f t="shared" si="1"/>
        <v>67</v>
      </c>
    </row>
    <row r="27" spans="1:42" x14ac:dyDescent="0.25">
      <c r="A27" s="3">
        <v>19</v>
      </c>
      <c r="B27" s="2" t="s">
        <v>129</v>
      </c>
      <c r="C27" s="43">
        <v>28</v>
      </c>
      <c r="D27" s="43">
        <v>26</v>
      </c>
      <c r="E27" s="43">
        <v>25</v>
      </c>
      <c r="F27" s="43">
        <v>33</v>
      </c>
      <c r="G27" s="43">
        <v>28</v>
      </c>
      <c r="H27" s="43">
        <v>19</v>
      </c>
      <c r="I27" s="43">
        <v>19</v>
      </c>
      <c r="J27" s="43">
        <v>32</v>
      </c>
      <c r="K27" s="43">
        <v>28</v>
      </c>
      <c r="L27" s="43">
        <v>22</v>
      </c>
      <c r="M27" s="43">
        <v>16</v>
      </c>
      <c r="N27" s="43">
        <v>24</v>
      </c>
      <c r="O27" s="43">
        <v>22</v>
      </c>
      <c r="P27" s="43">
        <v>21</v>
      </c>
      <c r="Q27" s="43">
        <v>8</v>
      </c>
      <c r="R27" s="43">
        <v>14</v>
      </c>
      <c r="S27" s="44"/>
      <c r="T27" s="44"/>
      <c r="U27" s="43">
        <v>22</v>
      </c>
      <c r="V27" s="43">
        <v>26</v>
      </c>
      <c r="W27" s="43">
        <v>23</v>
      </c>
      <c r="X27" s="43">
        <v>30</v>
      </c>
      <c r="Y27" s="43">
        <v>26</v>
      </c>
      <c r="Z27" s="43">
        <v>36</v>
      </c>
      <c r="AA27" s="44"/>
      <c r="AB27" s="44"/>
      <c r="AC27" s="43">
        <v>17</v>
      </c>
      <c r="AD27" s="43">
        <v>10</v>
      </c>
      <c r="AE27" s="43">
        <v>22</v>
      </c>
      <c r="AF27" s="43">
        <v>59</v>
      </c>
      <c r="AG27" s="43">
        <v>27</v>
      </c>
      <c r="AH27" s="43">
        <v>30</v>
      </c>
      <c r="AI27" s="43">
        <v>16</v>
      </c>
      <c r="AJ27" s="43">
        <v>12</v>
      </c>
      <c r="AK27" s="43">
        <v>23</v>
      </c>
      <c r="AL27" s="43">
        <v>23</v>
      </c>
      <c r="AM27" s="43">
        <v>28</v>
      </c>
      <c r="AN27" s="43">
        <v>40</v>
      </c>
      <c r="AO27" s="42">
        <f t="shared" si="0"/>
        <v>835</v>
      </c>
      <c r="AP27" s="32">
        <f t="shared" si="1"/>
        <v>49.117647058823529</v>
      </c>
    </row>
    <row r="28" spans="1:42" x14ac:dyDescent="0.25">
      <c r="A28" s="3">
        <v>20</v>
      </c>
      <c r="B28" s="2" t="s">
        <v>130</v>
      </c>
      <c r="C28" s="43">
        <v>28</v>
      </c>
      <c r="D28" s="43">
        <v>68</v>
      </c>
      <c r="E28" s="43">
        <v>30</v>
      </c>
      <c r="F28" s="43">
        <v>55</v>
      </c>
      <c r="G28" s="43">
        <v>29</v>
      </c>
      <c r="H28" s="43">
        <v>63</v>
      </c>
      <c r="I28" s="43">
        <v>24</v>
      </c>
      <c r="J28" s="43">
        <v>52</v>
      </c>
      <c r="K28" s="43">
        <v>23</v>
      </c>
      <c r="L28" s="43">
        <v>30</v>
      </c>
      <c r="M28" s="43">
        <v>27</v>
      </c>
      <c r="N28" s="43">
        <v>33</v>
      </c>
      <c r="O28" s="43">
        <v>20</v>
      </c>
      <c r="P28" s="43">
        <v>36</v>
      </c>
      <c r="Q28" s="43">
        <v>22</v>
      </c>
      <c r="R28" s="43">
        <v>24</v>
      </c>
      <c r="S28" s="44"/>
      <c r="T28" s="44"/>
      <c r="U28" s="43">
        <v>14</v>
      </c>
      <c r="V28" s="43">
        <v>23</v>
      </c>
      <c r="W28" s="43">
        <v>29</v>
      </c>
      <c r="X28" s="43">
        <v>46</v>
      </c>
      <c r="Y28" s="43">
        <v>25</v>
      </c>
      <c r="Z28" s="43">
        <v>50</v>
      </c>
      <c r="AA28" s="44"/>
      <c r="AB28" s="44"/>
      <c r="AC28" s="43">
        <v>25</v>
      </c>
      <c r="AD28" s="43">
        <v>54</v>
      </c>
      <c r="AE28" s="43">
        <v>25</v>
      </c>
      <c r="AF28" s="43">
        <v>60</v>
      </c>
      <c r="AG28" s="43">
        <v>29</v>
      </c>
      <c r="AH28" s="43">
        <v>53</v>
      </c>
      <c r="AI28" s="43">
        <v>19</v>
      </c>
      <c r="AJ28" s="43">
        <v>34</v>
      </c>
      <c r="AK28" s="43">
        <v>21</v>
      </c>
      <c r="AL28" s="43">
        <v>40</v>
      </c>
      <c r="AM28" s="43">
        <v>26</v>
      </c>
      <c r="AN28" s="43">
        <v>37</v>
      </c>
      <c r="AO28" s="42">
        <f t="shared" si="0"/>
        <v>1174</v>
      </c>
      <c r="AP28" s="32">
        <f t="shared" si="1"/>
        <v>69.058823529411768</v>
      </c>
    </row>
    <row r="29" spans="1:42" x14ac:dyDescent="0.25">
      <c r="A29" s="3">
        <v>21</v>
      </c>
      <c r="B29" s="2" t="s">
        <v>131</v>
      </c>
      <c r="C29" s="43">
        <v>28</v>
      </c>
      <c r="D29" s="43">
        <v>62</v>
      </c>
      <c r="E29" s="43">
        <v>27</v>
      </c>
      <c r="F29" s="43">
        <v>47</v>
      </c>
      <c r="G29" s="43">
        <v>28</v>
      </c>
      <c r="H29" s="43">
        <v>54</v>
      </c>
      <c r="I29" s="43">
        <v>25</v>
      </c>
      <c r="J29" s="43">
        <v>30</v>
      </c>
      <c r="K29" s="43">
        <v>23</v>
      </c>
      <c r="L29" s="43">
        <v>45</v>
      </c>
      <c r="M29" s="43">
        <v>23</v>
      </c>
      <c r="N29" s="43">
        <v>12</v>
      </c>
      <c r="O29" s="43">
        <v>23</v>
      </c>
      <c r="P29" s="43">
        <v>8</v>
      </c>
      <c r="Q29" s="43">
        <v>24</v>
      </c>
      <c r="R29" s="43">
        <v>16</v>
      </c>
      <c r="S29" s="44"/>
      <c r="T29" s="44"/>
      <c r="U29" s="43">
        <v>11</v>
      </c>
      <c r="V29" s="43">
        <v>61</v>
      </c>
      <c r="W29" s="43">
        <v>27</v>
      </c>
      <c r="X29" s="43">
        <v>49</v>
      </c>
      <c r="Y29" s="43">
        <v>25</v>
      </c>
      <c r="Z29" s="43">
        <v>25</v>
      </c>
      <c r="AA29" s="44"/>
      <c r="AB29" s="44"/>
      <c r="AC29" s="43">
        <v>22</v>
      </c>
      <c r="AD29" s="43">
        <v>34</v>
      </c>
      <c r="AE29" s="43">
        <v>19</v>
      </c>
      <c r="AF29" s="43">
        <v>38</v>
      </c>
      <c r="AG29" s="43">
        <v>27</v>
      </c>
      <c r="AH29" s="43">
        <v>45</v>
      </c>
      <c r="AI29" s="43">
        <v>17</v>
      </c>
      <c r="AJ29" s="43">
        <v>23</v>
      </c>
      <c r="AK29" s="43">
        <v>23</v>
      </c>
      <c r="AL29" s="43">
        <v>27</v>
      </c>
      <c r="AM29" s="43">
        <v>26</v>
      </c>
      <c r="AN29" s="43">
        <v>54</v>
      </c>
      <c r="AO29" s="42">
        <f t="shared" si="0"/>
        <v>1028</v>
      </c>
      <c r="AP29" s="32">
        <f t="shared" si="1"/>
        <v>60.470588235294116</v>
      </c>
    </row>
    <row r="30" spans="1:42" x14ac:dyDescent="0.25">
      <c r="A30" s="3">
        <v>22</v>
      </c>
      <c r="B30" s="2" t="s">
        <v>132</v>
      </c>
      <c r="C30" s="43">
        <v>28</v>
      </c>
      <c r="D30" s="43">
        <v>28</v>
      </c>
      <c r="E30" s="43">
        <v>28</v>
      </c>
      <c r="F30" s="43">
        <v>28</v>
      </c>
      <c r="G30" s="43">
        <v>28</v>
      </c>
      <c r="H30" s="43">
        <v>43</v>
      </c>
      <c r="I30" s="43">
        <v>17</v>
      </c>
      <c r="J30" s="43">
        <v>16</v>
      </c>
      <c r="K30" s="43">
        <v>24</v>
      </c>
      <c r="L30" s="43">
        <v>30</v>
      </c>
      <c r="M30" s="43">
        <v>17</v>
      </c>
      <c r="N30" s="43">
        <v>29</v>
      </c>
      <c r="O30" s="43">
        <v>21</v>
      </c>
      <c r="P30" s="43">
        <v>20</v>
      </c>
      <c r="Q30" s="43">
        <v>21</v>
      </c>
      <c r="R30" s="43">
        <v>15</v>
      </c>
      <c r="S30" s="44"/>
      <c r="T30" s="44"/>
      <c r="U30" s="43">
        <v>30</v>
      </c>
      <c r="V30" s="43">
        <v>38</v>
      </c>
      <c r="W30" s="43">
        <v>23</v>
      </c>
      <c r="X30" s="43">
        <v>27</v>
      </c>
      <c r="Y30" s="43">
        <v>20</v>
      </c>
      <c r="Z30" s="43">
        <v>20</v>
      </c>
      <c r="AA30" s="44"/>
      <c r="AB30" s="44"/>
      <c r="AC30" s="43">
        <v>17</v>
      </c>
      <c r="AD30" s="43">
        <v>22</v>
      </c>
      <c r="AE30" s="43">
        <v>21</v>
      </c>
      <c r="AF30" s="43">
        <v>40</v>
      </c>
      <c r="AG30" s="43">
        <v>26</v>
      </c>
      <c r="AH30" s="43">
        <v>20</v>
      </c>
      <c r="AI30" s="43">
        <v>21</v>
      </c>
      <c r="AJ30" s="43">
        <v>8</v>
      </c>
      <c r="AK30" s="43">
        <v>19</v>
      </c>
      <c r="AL30" s="43">
        <v>14</v>
      </c>
      <c r="AM30" s="43">
        <v>21</v>
      </c>
      <c r="AN30" s="43">
        <v>60</v>
      </c>
      <c r="AO30" s="42">
        <f t="shared" si="0"/>
        <v>840</v>
      </c>
      <c r="AP30" s="32">
        <f t="shared" si="1"/>
        <v>49.411764705882355</v>
      </c>
    </row>
    <row r="31" spans="1:42" x14ac:dyDescent="0.25">
      <c r="A31" s="3">
        <v>23</v>
      </c>
      <c r="B31" s="2"/>
      <c r="C31" s="49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4"/>
      <c r="T31" s="44"/>
      <c r="U31" s="43"/>
      <c r="V31" s="43"/>
      <c r="W31" s="43"/>
      <c r="X31" s="43"/>
      <c r="Y31" s="43"/>
      <c r="Z31" s="43"/>
      <c r="AA31" s="44"/>
      <c r="AB31" s="44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2">
        <f t="shared" si="0"/>
        <v>0</v>
      </c>
      <c r="AP31" s="32">
        <f t="shared" si="1"/>
        <v>0</v>
      </c>
    </row>
    <row r="32" spans="1:42" x14ac:dyDescent="0.25">
      <c r="A32" s="3">
        <v>24</v>
      </c>
      <c r="B32" s="2"/>
      <c r="C32" s="49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4"/>
      <c r="T32" s="44"/>
      <c r="U32" s="43"/>
      <c r="V32" s="43"/>
      <c r="W32" s="43"/>
      <c r="X32" s="43"/>
      <c r="Y32" s="43"/>
      <c r="Z32" s="43"/>
      <c r="AA32" s="44"/>
      <c r="AB32" s="44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2">
        <f t="shared" si="0"/>
        <v>0</v>
      </c>
      <c r="AP32" s="32">
        <f t="shared" si="1"/>
        <v>0</v>
      </c>
    </row>
    <row r="33" spans="1:42" x14ac:dyDescent="0.25">
      <c r="A33" s="3">
        <v>25</v>
      </c>
      <c r="B33" s="2"/>
      <c r="C33" s="49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4"/>
      <c r="T33" s="44"/>
      <c r="U33" s="43"/>
      <c r="V33" s="43"/>
      <c r="W33" s="43"/>
      <c r="X33" s="43"/>
      <c r="Y33" s="43"/>
      <c r="Z33" s="43"/>
      <c r="AA33" s="44"/>
      <c r="AB33" s="44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2">
        <f t="shared" si="0"/>
        <v>0</v>
      </c>
      <c r="AP33" s="32">
        <f t="shared" si="1"/>
        <v>0</v>
      </c>
    </row>
    <row r="34" spans="1:42" x14ac:dyDescent="0.25">
      <c r="A34" s="3">
        <v>26</v>
      </c>
      <c r="B34" s="2"/>
      <c r="C34" s="49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4"/>
      <c r="U34" s="43"/>
      <c r="V34" s="43"/>
      <c r="W34" s="43"/>
      <c r="X34" s="43"/>
      <c r="Y34" s="43"/>
      <c r="Z34" s="43"/>
      <c r="AA34" s="44"/>
      <c r="AB34" s="44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2">
        <f t="shared" si="0"/>
        <v>0</v>
      </c>
      <c r="AP34" s="32">
        <f t="shared" si="1"/>
        <v>0</v>
      </c>
    </row>
    <row r="35" spans="1:42" x14ac:dyDescent="0.25">
      <c r="A35" s="3">
        <v>27</v>
      </c>
      <c r="B35" s="2"/>
      <c r="C35" s="49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4"/>
      <c r="T35" s="44"/>
      <c r="U35" s="43"/>
      <c r="V35" s="43"/>
      <c r="W35" s="43"/>
      <c r="X35" s="43"/>
      <c r="Y35" s="43"/>
      <c r="Z35" s="43"/>
      <c r="AA35" s="44"/>
      <c r="AB35" s="44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2">
        <f t="shared" si="0"/>
        <v>0</v>
      </c>
      <c r="AP35" s="32">
        <f t="shared" si="1"/>
        <v>0</v>
      </c>
    </row>
    <row r="36" spans="1:42" x14ac:dyDescent="0.25">
      <c r="A36" s="3">
        <v>28</v>
      </c>
      <c r="B36" s="2"/>
      <c r="C36" s="49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4"/>
      <c r="T36" s="44"/>
      <c r="U36" s="43"/>
      <c r="V36" s="43"/>
      <c r="W36" s="43"/>
      <c r="X36" s="43"/>
      <c r="Y36" s="43"/>
      <c r="Z36" s="43"/>
      <c r="AA36" s="44"/>
      <c r="AB36" s="44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2">
        <f t="shared" si="0"/>
        <v>0</v>
      </c>
      <c r="AP36" s="32">
        <f t="shared" si="1"/>
        <v>0</v>
      </c>
    </row>
    <row r="37" spans="1:42" x14ac:dyDescent="0.25">
      <c r="A37" s="3">
        <v>29</v>
      </c>
      <c r="B37" s="2"/>
      <c r="C37" s="49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4"/>
      <c r="T37" s="44"/>
      <c r="U37" s="43"/>
      <c r="V37" s="43"/>
      <c r="W37" s="43"/>
      <c r="X37" s="43"/>
      <c r="Y37" s="43"/>
      <c r="Z37" s="43"/>
      <c r="AA37" s="44"/>
      <c r="AB37" s="44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2">
        <f t="shared" si="0"/>
        <v>0</v>
      </c>
      <c r="AP37" s="32">
        <f t="shared" si="1"/>
        <v>0</v>
      </c>
    </row>
    <row r="38" spans="1:42" x14ac:dyDescent="0.25">
      <c r="A38" s="3">
        <v>30</v>
      </c>
      <c r="B38" s="2"/>
      <c r="C38" s="49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4"/>
      <c r="T38" s="44"/>
      <c r="U38" s="43"/>
      <c r="V38" s="43"/>
      <c r="W38" s="43"/>
      <c r="X38" s="43"/>
      <c r="Y38" s="43"/>
      <c r="Z38" s="43"/>
      <c r="AA38" s="44"/>
      <c r="AB38" s="44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2">
        <f t="shared" si="0"/>
        <v>0</v>
      </c>
      <c r="AP38" s="32">
        <f t="shared" si="1"/>
        <v>0</v>
      </c>
    </row>
    <row r="39" spans="1:42" x14ac:dyDescent="0.25">
      <c r="A39" s="3">
        <v>31</v>
      </c>
      <c r="B39" s="41"/>
      <c r="C39" s="49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2">
        <f t="shared" si="0"/>
        <v>0</v>
      </c>
      <c r="AP39" s="32">
        <f t="shared" si="1"/>
        <v>0</v>
      </c>
    </row>
    <row r="40" spans="1:42" x14ac:dyDescent="0.25">
      <c r="A40" s="3">
        <v>32</v>
      </c>
      <c r="B40" s="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2">
        <f t="shared" si="0"/>
        <v>0</v>
      </c>
      <c r="AP40" s="32">
        <f t="shared" si="1"/>
        <v>0</v>
      </c>
    </row>
    <row r="41" spans="1:42" x14ac:dyDescent="0.25">
      <c r="A41" s="3">
        <v>33</v>
      </c>
      <c r="B41" s="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2">
        <f t="shared" si="0"/>
        <v>0</v>
      </c>
      <c r="AP41" s="32">
        <f t="shared" si="1"/>
        <v>0</v>
      </c>
    </row>
    <row r="42" spans="1:42" x14ac:dyDescent="0.25">
      <c r="A42" s="1">
        <v>34</v>
      </c>
      <c r="B42" s="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2">
        <f t="shared" si="0"/>
        <v>0</v>
      </c>
      <c r="AP42" s="32">
        <f t="shared" si="1"/>
        <v>0</v>
      </c>
    </row>
    <row r="43" spans="1:42" x14ac:dyDescent="0.25">
      <c r="A43" s="1">
        <v>35</v>
      </c>
      <c r="B43" s="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2">
        <f t="shared" si="0"/>
        <v>0</v>
      </c>
      <c r="AP43" s="32">
        <f t="shared" si="1"/>
        <v>0</v>
      </c>
    </row>
    <row r="44" spans="1:42" x14ac:dyDescent="0.25">
      <c r="A44" s="1">
        <v>36</v>
      </c>
      <c r="B44" s="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2">
        <f t="shared" si="0"/>
        <v>0</v>
      </c>
      <c r="AP44" s="32">
        <f t="shared" si="1"/>
        <v>0</v>
      </c>
    </row>
    <row r="45" spans="1:42" x14ac:dyDescent="0.25">
      <c r="A45" s="1">
        <v>37</v>
      </c>
      <c r="B45" s="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2">
        <f t="shared" si="0"/>
        <v>0</v>
      </c>
      <c r="AP45" s="32">
        <f t="shared" si="1"/>
        <v>0</v>
      </c>
    </row>
    <row r="46" spans="1:42" x14ac:dyDescent="0.25">
      <c r="A46" s="1">
        <v>38</v>
      </c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2">
        <f t="shared" si="0"/>
        <v>0</v>
      </c>
      <c r="AP46" s="32">
        <f t="shared" si="1"/>
        <v>0</v>
      </c>
    </row>
    <row r="47" spans="1:42" x14ac:dyDescent="0.25">
      <c r="A47" s="1">
        <v>39</v>
      </c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2">
        <f t="shared" si="0"/>
        <v>0</v>
      </c>
      <c r="AP47" s="32">
        <f t="shared" si="1"/>
        <v>0</v>
      </c>
    </row>
    <row r="48" spans="1:42" x14ac:dyDescent="0.25">
      <c r="A48" s="1">
        <v>40</v>
      </c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2">
        <f t="shared" si="0"/>
        <v>0</v>
      </c>
      <c r="AP48" s="32">
        <f t="shared" si="1"/>
        <v>0</v>
      </c>
    </row>
  </sheetData>
  <sheetProtection algorithmName="SHA-512" hashValue="UIbVEl7BehVrWlsrgmyXVe3ES9ctH4BAAQbelx1ldIOT2Nh5BR1gm5hYpK0hlY7q00S6uTs3+VPXkmHU7lyB1Q==" saltValue="kDf9soehq06RqH/ugMVzWQ==" spinCount="100000" sheet="1" objects="1" scenarios="1"/>
  <sortState xmlns:xlrd2="http://schemas.microsoft.com/office/spreadsheetml/2017/richdata2" ref="B8:T36">
    <sortCondition ref="B8:B36"/>
  </sortState>
  <mergeCells count="30">
    <mergeCell ref="U7:V7"/>
    <mergeCell ref="G7:H7"/>
    <mergeCell ref="C5:AN6"/>
    <mergeCell ref="AO5:AP6"/>
    <mergeCell ref="K7:L7"/>
    <mergeCell ref="M7:N7"/>
    <mergeCell ref="O7:P7"/>
    <mergeCell ref="Q7:R7"/>
    <mergeCell ref="A4:B4"/>
    <mergeCell ref="C7:D7"/>
    <mergeCell ref="E7:F7"/>
    <mergeCell ref="A7:A8"/>
    <mergeCell ref="B5:B6"/>
    <mergeCell ref="A5:A6"/>
    <mergeCell ref="A1:AP2"/>
    <mergeCell ref="AO7:AO8"/>
    <mergeCell ref="AP7:AP8"/>
    <mergeCell ref="C4:AP4"/>
    <mergeCell ref="A3:AP3"/>
    <mergeCell ref="AK7:AL7"/>
    <mergeCell ref="AA7:AB7"/>
    <mergeCell ref="AM7:AN7"/>
    <mergeCell ref="Y7:Z7"/>
    <mergeCell ref="AC7:AD7"/>
    <mergeCell ref="AE7:AF7"/>
    <mergeCell ref="AG7:AH7"/>
    <mergeCell ref="AI7:AJ7"/>
    <mergeCell ref="S7:T7"/>
    <mergeCell ref="W7:X7"/>
    <mergeCell ref="I7:J7"/>
  </mergeCells>
  <dataValidations count="2">
    <dataValidation type="whole" allowBlank="1" showInputMessage="1" showErrorMessage="1" errorTitle="Data Range Error" error="Value should be between 0 and 30" sqref="AC9:AC48 AE9:AE48 AA9:AA48 C9:C48 E9:E48 G9:G48 I9:I48 K9:K48 M9:M48 O9:O48 Q9:Q48 S9:S48 U9:U48 W9:W48 Y9:Y48 AG9:AG48 AI9:AI48 AK9:AK48 AM9:AM48" xr:uid="{00000000-0002-0000-0000-000000000000}">
      <formula1>0</formula1>
      <formula2>30</formula2>
    </dataValidation>
    <dataValidation type="whole" allowBlank="1" showInputMessage="1" showErrorMessage="1" errorTitle="Data Range Error" error="Value should be between 0 and 70" sqref="D9:D48 F9:F48 H9:H48 J9:J48 L9:L48 N9:N48 P9:P48 R9:R48 T9:T48 V9:V48 X9:X48 Z9:Z48 AB9:AB48 AD9:AD48 AF9:AF48 AH9:AH48 AJ9:AJ48 AL9:AL48 AN9:AN48" xr:uid="{00000000-0002-0000-0000-000001000000}">
      <formula1>0</formula1>
      <formula2>70</formula2>
    </dataValidation>
  </dataValidations>
  <pageMargins left="0.25" right="0.25" top="0.75" bottom="0.75" header="0.3" footer="0.3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P48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30" sqref="B30"/>
    </sheetView>
  </sheetViews>
  <sheetFormatPr defaultRowHeight="15" x14ac:dyDescent="0.25"/>
  <cols>
    <col min="1" max="1" width="5.28515625" bestFit="1" customWidth="1"/>
    <col min="2" max="2" width="35.28515625" customWidth="1"/>
    <col min="3" max="3" width="3.28515625" bestFit="1" customWidth="1"/>
    <col min="4" max="4" width="5" bestFit="1" customWidth="1"/>
    <col min="5" max="14" width="3.28515625" bestFit="1" customWidth="1"/>
    <col min="15" max="15" width="3.85546875" customWidth="1"/>
    <col min="16" max="16" width="4.7109375" customWidth="1"/>
    <col min="17" max="26" width="3.28515625" bestFit="1" customWidth="1"/>
    <col min="27" max="28" width="3.28515625" customWidth="1"/>
    <col min="29" max="32" width="3.28515625" bestFit="1" customWidth="1"/>
    <col min="33" max="33" width="4.28515625" customWidth="1"/>
    <col min="34" max="34" width="4.140625" customWidth="1"/>
    <col min="35" max="40" width="3.28515625" bestFit="1" customWidth="1"/>
    <col min="41" max="41" width="8.140625" customWidth="1"/>
    <col min="42" max="42" width="11.85546875" customWidth="1"/>
  </cols>
  <sheetData>
    <row r="1" spans="1:42" ht="15" customHeight="1" x14ac:dyDescent="0.25">
      <c r="A1" s="78" t="s">
        <v>189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</row>
    <row r="2" spans="1:42" ht="15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</row>
    <row r="3" spans="1:42" ht="18" x14ac:dyDescent="0.25">
      <c r="A3" s="82" t="s">
        <v>190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</row>
    <row r="4" spans="1:42" ht="15.75" x14ac:dyDescent="0.25">
      <c r="A4" s="84" t="s">
        <v>43</v>
      </c>
      <c r="B4" s="84"/>
      <c r="C4" s="81" t="s">
        <v>111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</row>
    <row r="5" spans="1:42" ht="15" customHeight="1" x14ac:dyDescent="0.25">
      <c r="A5" s="87"/>
      <c r="B5" s="86" t="s">
        <v>178</v>
      </c>
      <c r="C5" s="88" t="s">
        <v>110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90"/>
      <c r="AO5" s="94" t="s">
        <v>60</v>
      </c>
      <c r="AP5" s="95"/>
    </row>
    <row r="6" spans="1:42" ht="15" customHeight="1" x14ac:dyDescent="0.25">
      <c r="A6" s="87"/>
      <c r="B6" s="86"/>
      <c r="C6" s="91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3"/>
      <c r="AO6" s="96"/>
      <c r="AP6" s="97"/>
    </row>
    <row r="7" spans="1:42" ht="81" customHeight="1" x14ac:dyDescent="0.25">
      <c r="A7" s="85" t="s">
        <v>0</v>
      </c>
      <c r="B7" s="6" t="s">
        <v>42</v>
      </c>
      <c r="C7" s="80" t="s">
        <v>6</v>
      </c>
      <c r="D7" s="80"/>
      <c r="E7" s="83" t="s">
        <v>3</v>
      </c>
      <c r="F7" s="83"/>
      <c r="G7" s="80" t="s">
        <v>4</v>
      </c>
      <c r="H7" s="80"/>
      <c r="I7" s="83" t="s">
        <v>5</v>
      </c>
      <c r="J7" s="83"/>
      <c r="K7" s="80" t="s">
        <v>7</v>
      </c>
      <c r="L7" s="80">
        <v>10</v>
      </c>
      <c r="M7" s="83" t="s">
        <v>8</v>
      </c>
      <c r="N7" s="83">
        <v>12</v>
      </c>
      <c r="O7" s="80" t="s">
        <v>9</v>
      </c>
      <c r="P7" s="80"/>
      <c r="Q7" s="83" t="s">
        <v>10</v>
      </c>
      <c r="R7" s="83"/>
      <c r="S7" s="80" t="s">
        <v>11</v>
      </c>
      <c r="T7" s="80"/>
      <c r="U7" s="83" t="s">
        <v>13</v>
      </c>
      <c r="V7" s="83"/>
      <c r="W7" s="80" t="s">
        <v>14</v>
      </c>
      <c r="X7" s="80"/>
      <c r="Y7" s="83" t="s">
        <v>15</v>
      </c>
      <c r="Z7" s="83"/>
      <c r="AA7" s="80" t="s">
        <v>22</v>
      </c>
      <c r="AB7" s="80"/>
      <c r="AC7" s="83" t="s">
        <v>16</v>
      </c>
      <c r="AD7" s="83"/>
      <c r="AE7" s="80" t="s">
        <v>17</v>
      </c>
      <c r="AF7" s="80"/>
      <c r="AG7" s="83" t="s">
        <v>18</v>
      </c>
      <c r="AH7" s="83"/>
      <c r="AI7" s="80" t="s">
        <v>19</v>
      </c>
      <c r="AJ7" s="80"/>
      <c r="AK7" s="83" t="s">
        <v>20</v>
      </c>
      <c r="AL7" s="83"/>
      <c r="AM7" s="80" t="s">
        <v>21</v>
      </c>
      <c r="AN7" s="80"/>
      <c r="AO7" s="79" t="s">
        <v>30</v>
      </c>
      <c r="AP7" s="80" t="s">
        <v>31</v>
      </c>
    </row>
    <row r="8" spans="1:42" ht="29.25" x14ac:dyDescent="0.25">
      <c r="A8" s="85"/>
      <c r="B8" s="48" t="s">
        <v>12</v>
      </c>
      <c r="C8" s="46" t="s">
        <v>1</v>
      </c>
      <c r="D8" s="45" t="s">
        <v>2</v>
      </c>
      <c r="E8" s="46" t="s">
        <v>1</v>
      </c>
      <c r="F8" s="45" t="s">
        <v>2</v>
      </c>
      <c r="G8" s="46" t="s">
        <v>1</v>
      </c>
      <c r="H8" s="45" t="s">
        <v>2</v>
      </c>
      <c r="I8" s="46" t="s">
        <v>1</v>
      </c>
      <c r="J8" s="45" t="s">
        <v>2</v>
      </c>
      <c r="K8" s="46" t="s">
        <v>1</v>
      </c>
      <c r="L8" s="45" t="s">
        <v>2</v>
      </c>
      <c r="M8" s="46" t="s">
        <v>1</v>
      </c>
      <c r="N8" s="45" t="s">
        <v>2</v>
      </c>
      <c r="O8" s="46" t="s">
        <v>1</v>
      </c>
      <c r="P8" s="45" t="s">
        <v>2</v>
      </c>
      <c r="Q8" s="46" t="s">
        <v>1</v>
      </c>
      <c r="R8" s="45" t="s">
        <v>2</v>
      </c>
      <c r="S8" s="46" t="s">
        <v>1</v>
      </c>
      <c r="T8" s="45" t="s">
        <v>2</v>
      </c>
      <c r="U8" s="46" t="s">
        <v>1</v>
      </c>
      <c r="V8" s="45" t="s">
        <v>2</v>
      </c>
      <c r="W8" s="46" t="s">
        <v>1</v>
      </c>
      <c r="X8" s="45" t="s">
        <v>2</v>
      </c>
      <c r="Y8" s="46" t="s">
        <v>1</v>
      </c>
      <c r="Z8" s="45" t="s">
        <v>2</v>
      </c>
      <c r="AA8" s="46" t="s">
        <v>1</v>
      </c>
      <c r="AB8" s="45" t="s">
        <v>2</v>
      </c>
      <c r="AC8" s="46" t="s">
        <v>1</v>
      </c>
      <c r="AD8" s="45" t="s">
        <v>2</v>
      </c>
      <c r="AE8" s="46" t="s">
        <v>1</v>
      </c>
      <c r="AF8" s="45" t="s">
        <v>2</v>
      </c>
      <c r="AG8" s="46" t="s">
        <v>1</v>
      </c>
      <c r="AH8" s="45" t="s">
        <v>2</v>
      </c>
      <c r="AI8" s="46" t="s">
        <v>1</v>
      </c>
      <c r="AJ8" s="45" t="s">
        <v>2</v>
      </c>
      <c r="AK8" s="46" t="s">
        <v>1</v>
      </c>
      <c r="AL8" s="45" t="s">
        <v>2</v>
      </c>
      <c r="AM8" s="46" t="s">
        <v>1</v>
      </c>
      <c r="AN8" s="45" t="s">
        <v>2</v>
      </c>
      <c r="AO8" s="79"/>
      <c r="AP8" s="80"/>
    </row>
    <row r="9" spans="1:42" x14ac:dyDescent="0.25">
      <c r="A9" s="3">
        <v>1</v>
      </c>
      <c r="B9" s="35" t="str">
        <f>('1st Term'!B9)</f>
        <v>ADAKARAZA SAMUEL</v>
      </c>
      <c r="C9" s="43">
        <v>28</v>
      </c>
      <c r="D9" s="43">
        <v>28</v>
      </c>
      <c r="E9" s="75">
        <v>17</v>
      </c>
      <c r="F9" s="75">
        <v>31</v>
      </c>
      <c r="G9" s="74">
        <v>14</v>
      </c>
      <c r="H9" s="74">
        <v>26</v>
      </c>
      <c r="I9" s="75">
        <v>15</v>
      </c>
      <c r="J9" s="75">
        <v>25</v>
      </c>
      <c r="K9" s="76">
        <v>13</v>
      </c>
      <c r="L9" s="76">
        <v>20</v>
      </c>
      <c r="M9" s="75">
        <v>14</v>
      </c>
      <c r="N9" s="75">
        <v>16</v>
      </c>
      <c r="O9" s="75">
        <v>21</v>
      </c>
      <c r="P9" s="75">
        <v>27</v>
      </c>
      <c r="Q9" s="75">
        <v>14</v>
      </c>
      <c r="R9" s="75">
        <v>26</v>
      </c>
      <c r="S9" s="74"/>
      <c r="T9" s="74"/>
      <c r="U9" s="75">
        <v>17</v>
      </c>
      <c r="V9" s="75">
        <v>41</v>
      </c>
      <c r="W9" s="75">
        <v>16</v>
      </c>
      <c r="X9" s="75">
        <v>21</v>
      </c>
      <c r="Y9" s="75">
        <v>17</v>
      </c>
      <c r="Z9" s="75">
        <v>20</v>
      </c>
      <c r="AA9" s="74"/>
      <c r="AB9" s="74"/>
      <c r="AC9" s="75">
        <v>12</v>
      </c>
      <c r="AD9" s="75">
        <v>13</v>
      </c>
      <c r="AE9" s="75">
        <v>20</v>
      </c>
      <c r="AF9" s="75">
        <v>30</v>
      </c>
      <c r="AG9" s="43">
        <v>29</v>
      </c>
      <c r="AH9" s="43">
        <v>10</v>
      </c>
      <c r="AI9" s="75">
        <v>12</v>
      </c>
      <c r="AJ9" s="75">
        <v>19</v>
      </c>
      <c r="AK9" s="75">
        <v>14</v>
      </c>
      <c r="AL9" s="75">
        <v>25</v>
      </c>
      <c r="AM9" s="75">
        <v>17</v>
      </c>
      <c r="AN9" s="75">
        <v>22</v>
      </c>
      <c r="AO9" s="42">
        <f>SUM(C9:AN9)</f>
        <v>690</v>
      </c>
      <c r="AP9" s="32">
        <f>AO9/17</f>
        <v>40.588235294117645</v>
      </c>
    </row>
    <row r="10" spans="1:42" x14ac:dyDescent="0.25">
      <c r="A10" s="3">
        <v>2</v>
      </c>
      <c r="B10" s="35" t="str">
        <f>('1st Term'!B10)</f>
        <v>ADEOLA PEDRO</v>
      </c>
      <c r="C10" s="43">
        <v>28</v>
      </c>
      <c r="D10" s="43">
        <v>39</v>
      </c>
      <c r="E10" s="75">
        <v>27</v>
      </c>
      <c r="F10" s="75">
        <v>50</v>
      </c>
      <c r="G10" s="75">
        <v>24</v>
      </c>
      <c r="H10" s="75">
        <v>30</v>
      </c>
      <c r="I10" s="75">
        <v>17</v>
      </c>
      <c r="J10" s="75">
        <v>25</v>
      </c>
      <c r="K10" s="75">
        <v>20</v>
      </c>
      <c r="L10" s="75">
        <v>30</v>
      </c>
      <c r="M10" s="75">
        <v>18</v>
      </c>
      <c r="N10" s="75">
        <v>33</v>
      </c>
      <c r="O10" s="75">
        <v>24</v>
      </c>
      <c r="P10" s="75">
        <v>39</v>
      </c>
      <c r="Q10" s="75">
        <v>18</v>
      </c>
      <c r="R10" s="75">
        <v>44</v>
      </c>
      <c r="S10" s="74"/>
      <c r="T10" s="74"/>
      <c r="U10" s="75">
        <v>16</v>
      </c>
      <c r="V10" s="75">
        <v>51</v>
      </c>
      <c r="W10" s="75">
        <v>24</v>
      </c>
      <c r="X10" s="75">
        <v>50</v>
      </c>
      <c r="Y10" s="75">
        <v>21</v>
      </c>
      <c r="Z10" s="75">
        <v>39</v>
      </c>
      <c r="AA10" s="74"/>
      <c r="AB10" s="74"/>
      <c r="AC10" s="75">
        <v>22</v>
      </c>
      <c r="AD10" s="75">
        <v>42</v>
      </c>
      <c r="AE10" s="75">
        <v>20</v>
      </c>
      <c r="AF10" s="75">
        <v>45</v>
      </c>
      <c r="AG10" s="43">
        <v>29</v>
      </c>
      <c r="AH10" s="43">
        <v>32</v>
      </c>
      <c r="AI10" s="75">
        <v>27</v>
      </c>
      <c r="AJ10" s="75">
        <v>27</v>
      </c>
      <c r="AK10" s="75">
        <v>21</v>
      </c>
      <c r="AL10" s="75">
        <v>34</v>
      </c>
      <c r="AM10" s="75">
        <v>26</v>
      </c>
      <c r="AN10" s="75">
        <v>50</v>
      </c>
      <c r="AO10" s="42">
        <f t="shared" ref="AO10:AO48" si="0">SUM(C10:AN10)</f>
        <v>1042</v>
      </c>
      <c r="AP10" s="32">
        <f t="shared" ref="AP10:AP48" si="1">AO10/17</f>
        <v>61.294117647058826</v>
      </c>
    </row>
    <row r="11" spans="1:42" x14ac:dyDescent="0.25">
      <c r="A11" s="3">
        <v>3</v>
      </c>
      <c r="B11" s="35" t="str">
        <f>('1st Term'!B11)</f>
        <v>ASAMS DANIELLA</v>
      </c>
      <c r="C11" s="43">
        <v>28</v>
      </c>
      <c r="D11" s="43">
        <v>40</v>
      </c>
      <c r="E11" s="75">
        <v>29</v>
      </c>
      <c r="F11" s="75">
        <v>52</v>
      </c>
      <c r="G11" s="75">
        <v>24</v>
      </c>
      <c r="H11" s="75">
        <v>67</v>
      </c>
      <c r="I11" s="75">
        <v>19</v>
      </c>
      <c r="J11" s="75">
        <v>41</v>
      </c>
      <c r="K11" s="75">
        <v>30</v>
      </c>
      <c r="L11" s="75">
        <v>40</v>
      </c>
      <c r="M11" s="75">
        <v>20</v>
      </c>
      <c r="N11" s="75">
        <v>31</v>
      </c>
      <c r="O11" s="75">
        <v>22</v>
      </c>
      <c r="P11" s="75">
        <v>34</v>
      </c>
      <c r="Q11" s="75">
        <v>29</v>
      </c>
      <c r="R11" s="75">
        <v>43</v>
      </c>
      <c r="S11" s="74"/>
      <c r="T11" s="74"/>
      <c r="U11" s="75">
        <v>21</v>
      </c>
      <c r="V11" s="75">
        <v>49</v>
      </c>
      <c r="W11" s="75">
        <v>28</v>
      </c>
      <c r="X11" s="75">
        <v>57</v>
      </c>
      <c r="Y11" s="75">
        <v>20</v>
      </c>
      <c r="Z11" s="75">
        <v>30</v>
      </c>
      <c r="AA11" s="74"/>
      <c r="AB11" s="74"/>
      <c r="AC11" s="75">
        <v>16</v>
      </c>
      <c r="AD11" s="75">
        <v>38</v>
      </c>
      <c r="AE11" s="76">
        <v>15</v>
      </c>
      <c r="AF11" s="76">
        <v>31</v>
      </c>
      <c r="AG11" s="43">
        <v>26</v>
      </c>
      <c r="AH11" s="43">
        <v>35</v>
      </c>
      <c r="AI11" s="75">
        <v>22</v>
      </c>
      <c r="AJ11" s="75">
        <v>40</v>
      </c>
      <c r="AK11" s="75">
        <v>22</v>
      </c>
      <c r="AL11" s="75">
        <v>50</v>
      </c>
      <c r="AM11" s="75">
        <v>24</v>
      </c>
      <c r="AN11" s="75">
        <v>43</v>
      </c>
      <c r="AO11" s="42">
        <f t="shared" si="0"/>
        <v>1116</v>
      </c>
      <c r="AP11" s="32">
        <f t="shared" si="1"/>
        <v>65.647058823529406</v>
      </c>
    </row>
    <row r="12" spans="1:42" x14ac:dyDescent="0.25">
      <c r="A12" s="3">
        <v>4</v>
      </c>
      <c r="B12" s="35" t="str">
        <f>('1st Term'!B12)</f>
        <v>ASIBOR NANCY</v>
      </c>
      <c r="C12" s="43">
        <v>28</v>
      </c>
      <c r="D12" s="43">
        <v>55</v>
      </c>
      <c r="E12" s="75">
        <v>28</v>
      </c>
      <c r="F12" s="75">
        <v>65</v>
      </c>
      <c r="G12" s="75">
        <v>30</v>
      </c>
      <c r="H12" s="75">
        <v>57</v>
      </c>
      <c r="I12" s="75">
        <v>21</v>
      </c>
      <c r="J12" s="75">
        <v>37</v>
      </c>
      <c r="K12" s="75">
        <v>30</v>
      </c>
      <c r="L12" s="75">
        <v>44</v>
      </c>
      <c r="M12" s="75">
        <v>22</v>
      </c>
      <c r="N12" s="75">
        <v>40</v>
      </c>
      <c r="O12" s="75">
        <v>27</v>
      </c>
      <c r="P12" s="75">
        <v>34</v>
      </c>
      <c r="Q12" s="75">
        <v>27</v>
      </c>
      <c r="R12" s="75">
        <v>53</v>
      </c>
      <c r="S12" s="74"/>
      <c r="T12" s="74"/>
      <c r="U12" s="75">
        <v>23</v>
      </c>
      <c r="V12" s="75">
        <v>57</v>
      </c>
      <c r="W12" s="75">
        <v>29</v>
      </c>
      <c r="X12" s="75">
        <v>44</v>
      </c>
      <c r="Y12" s="75">
        <v>23</v>
      </c>
      <c r="Z12" s="75">
        <v>35</v>
      </c>
      <c r="AA12" s="74"/>
      <c r="AB12" s="74"/>
      <c r="AC12" s="75">
        <v>28</v>
      </c>
      <c r="AD12" s="75">
        <v>42</v>
      </c>
      <c r="AE12" s="75">
        <v>15</v>
      </c>
      <c r="AF12" s="75">
        <v>60</v>
      </c>
      <c r="AG12" s="43">
        <v>26</v>
      </c>
      <c r="AH12" s="43">
        <v>45</v>
      </c>
      <c r="AI12" s="75">
        <v>29</v>
      </c>
      <c r="AJ12" s="75">
        <v>47</v>
      </c>
      <c r="AK12" s="75">
        <v>22</v>
      </c>
      <c r="AL12" s="75">
        <v>60</v>
      </c>
      <c r="AM12" s="75">
        <v>26</v>
      </c>
      <c r="AN12" s="75">
        <v>48</v>
      </c>
      <c r="AO12" s="42">
        <f t="shared" si="0"/>
        <v>1257</v>
      </c>
      <c r="AP12" s="32">
        <f t="shared" si="1"/>
        <v>73.941176470588232</v>
      </c>
    </row>
    <row r="13" spans="1:42" x14ac:dyDescent="0.25">
      <c r="A13" s="3">
        <v>5</v>
      </c>
      <c r="B13" s="35" t="str">
        <f>('1st Term'!B13)</f>
        <v>BANKOLE AMEERAT</v>
      </c>
      <c r="C13" s="43">
        <v>30</v>
      </c>
      <c r="D13" s="43">
        <v>68</v>
      </c>
      <c r="E13" s="75">
        <v>30</v>
      </c>
      <c r="F13" s="75">
        <v>65</v>
      </c>
      <c r="G13" s="77">
        <v>30</v>
      </c>
      <c r="H13" s="75">
        <v>67</v>
      </c>
      <c r="I13" s="75">
        <v>19</v>
      </c>
      <c r="J13" s="75">
        <v>35</v>
      </c>
      <c r="K13" s="75">
        <v>30</v>
      </c>
      <c r="L13" s="75">
        <v>63</v>
      </c>
      <c r="M13" s="75">
        <v>18</v>
      </c>
      <c r="N13" s="75">
        <v>35</v>
      </c>
      <c r="O13" s="75">
        <v>26</v>
      </c>
      <c r="P13" s="75">
        <v>41</v>
      </c>
      <c r="Q13" s="75">
        <v>29</v>
      </c>
      <c r="R13" s="75">
        <v>57</v>
      </c>
      <c r="S13" s="74"/>
      <c r="T13" s="74"/>
      <c r="U13" s="75">
        <v>24</v>
      </c>
      <c r="V13" s="75">
        <v>61</v>
      </c>
      <c r="W13" s="75">
        <v>29</v>
      </c>
      <c r="X13" s="75">
        <v>61</v>
      </c>
      <c r="Y13" s="75">
        <v>25</v>
      </c>
      <c r="Z13" s="75">
        <v>55</v>
      </c>
      <c r="AA13" s="74"/>
      <c r="AB13" s="74"/>
      <c r="AC13" s="75">
        <v>30</v>
      </c>
      <c r="AD13" s="75">
        <v>51</v>
      </c>
      <c r="AE13" s="75">
        <v>30</v>
      </c>
      <c r="AF13" s="75">
        <v>65</v>
      </c>
      <c r="AG13" s="43">
        <v>26</v>
      </c>
      <c r="AH13" s="43">
        <v>50</v>
      </c>
      <c r="AI13" s="75">
        <v>22</v>
      </c>
      <c r="AJ13" s="75">
        <v>52</v>
      </c>
      <c r="AK13" s="75">
        <v>27</v>
      </c>
      <c r="AL13" s="75">
        <v>53</v>
      </c>
      <c r="AM13" s="75">
        <v>26</v>
      </c>
      <c r="AN13" s="75">
        <v>68</v>
      </c>
      <c r="AO13" s="42">
        <f t="shared" si="0"/>
        <v>1398</v>
      </c>
      <c r="AP13" s="32">
        <f t="shared" si="1"/>
        <v>82.235294117647058</v>
      </c>
    </row>
    <row r="14" spans="1:42" x14ac:dyDescent="0.25">
      <c r="A14" s="3">
        <v>6</v>
      </c>
      <c r="B14" s="35" t="str">
        <f>('1st Term'!B14)</f>
        <v>CHIEKEZIE MAXWELL</v>
      </c>
      <c r="C14" s="43">
        <v>28</v>
      </c>
      <c r="D14" s="43">
        <v>18</v>
      </c>
      <c r="E14" s="75">
        <v>15</v>
      </c>
      <c r="F14" s="75">
        <v>22</v>
      </c>
      <c r="G14" s="75">
        <v>18</v>
      </c>
      <c r="H14" s="75">
        <v>27</v>
      </c>
      <c r="I14" s="75">
        <v>15</v>
      </c>
      <c r="J14" s="75">
        <v>20</v>
      </c>
      <c r="K14" s="75">
        <v>24</v>
      </c>
      <c r="L14" s="75">
        <v>28</v>
      </c>
      <c r="M14" s="75">
        <v>15</v>
      </c>
      <c r="N14" s="75">
        <v>17</v>
      </c>
      <c r="O14" s="75">
        <v>19</v>
      </c>
      <c r="P14" s="75">
        <v>22</v>
      </c>
      <c r="Q14" s="75">
        <v>16</v>
      </c>
      <c r="R14" s="75">
        <v>21</v>
      </c>
      <c r="S14" s="74"/>
      <c r="T14" s="74"/>
      <c r="U14" s="75">
        <v>13</v>
      </c>
      <c r="V14" s="75">
        <v>25</v>
      </c>
      <c r="W14" s="75">
        <v>21</v>
      </c>
      <c r="X14" s="75">
        <v>32</v>
      </c>
      <c r="Y14" s="75">
        <v>18</v>
      </c>
      <c r="Z14" s="75">
        <v>15</v>
      </c>
      <c r="AA14" s="74"/>
      <c r="AB14" s="74"/>
      <c r="AC14" s="75">
        <v>12</v>
      </c>
      <c r="AD14" s="75">
        <v>17</v>
      </c>
      <c r="AE14" s="75">
        <v>20</v>
      </c>
      <c r="AF14" s="75">
        <v>13</v>
      </c>
      <c r="AG14" s="43">
        <v>29</v>
      </c>
      <c r="AH14" s="43">
        <v>30</v>
      </c>
      <c r="AI14" s="75">
        <v>14</v>
      </c>
      <c r="AJ14" s="75">
        <v>14</v>
      </c>
      <c r="AK14" s="75">
        <v>14</v>
      </c>
      <c r="AL14" s="75">
        <v>28</v>
      </c>
      <c r="AM14" s="75">
        <v>11</v>
      </c>
      <c r="AN14" s="75">
        <v>15</v>
      </c>
      <c r="AO14" s="42">
        <f t="shared" si="0"/>
        <v>666</v>
      </c>
      <c r="AP14" s="32">
        <f t="shared" si="1"/>
        <v>39.176470588235297</v>
      </c>
    </row>
    <row r="15" spans="1:42" x14ac:dyDescent="0.25">
      <c r="A15" s="3">
        <v>7</v>
      </c>
      <c r="B15" s="35" t="str">
        <f>('1st Term'!B15)</f>
        <v>MBUOTIDEM MOSES</v>
      </c>
      <c r="C15" s="43">
        <v>28</v>
      </c>
      <c r="D15" s="43">
        <v>35</v>
      </c>
      <c r="E15" s="75">
        <v>25</v>
      </c>
      <c r="F15" s="75">
        <v>41</v>
      </c>
      <c r="G15" s="75">
        <v>17</v>
      </c>
      <c r="H15" s="75">
        <v>37</v>
      </c>
      <c r="I15" s="75">
        <v>17</v>
      </c>
      <c r="J15" s="75">
        <v>19</v>
      </c>
      <c r="K15" s="74">
        <v>16</v>
      </c>
      <c r="L15" s="74">
        <v>25</v>
      </c>
      <c r="M15" s="75">
        <v>21</v>
      </c>
      <c r="N15" s="75">
        <v>20</v>
      </c>
      <c r="O15" s="75">
        <v>19</v>
      </c>
      <c r="P15" s="75">
        <v>34</v>
      </c>
      <c r="Q15" s="75">
        <v>26</v>
      </c>
      <c r="R15" s="75">
        <v>35</v>
      </c>
      <c r="S15" s="74"/>
      <c r="T15" s="74"/>
      <c r="U15" s="75">
        <v>22</v>
      </c>
      <c r="V15" s="75">
        <v>42</v>
      </c>
      <c r="W15" s="75">
        <v>30</v>
      </c>
      <c r="X15" s="75">
        <v>37</v>
      </c>
      <c r="Y15" s="75">
        <v>23</v>
      </c>
      <c r="Z15" s="75">
        <v>27</v>
      </c>
      <c r="AA15" s="74"/>
      <c r="AB15" s="74"/>
      <c r="AC15" s="75">
        <v>16</v>
      </c>
      <c r="AD15" s="75">
        <v>21</v>
      </c>
      <c r="AE15" s="75">
        <v>25</v>
      </c>
      <c r="AF15" s="75">
        <v>11</v>
      </c>
      <c r="AG15" s="43">
        <v>27</v>
      </c>
      <c r="AH15" s="43">
        <v>30</v>
      </c>
      <c r="AI15" s="75">
        <v>15</v>
      </c>
      <c r="AJ15" s="75">
        <v>26</v>
      </c>
      <c r="AK15" s="75">
        <v>17</v>
      </c>
      <c r="AL15" s="75">
        <v>30</v>
      </c>
      <c r="AM15" s="75">
        <v>22</v>
      </c>
      <c r="AN15" s="75">
        <v>20</v>
      </c>
      <c r="AO15" s="42">
        <f t="shared" si="0"/>
        <v>856</v>
      </c>
      <c r="AP15" s="32">
        <f t="shared" si="1"/>
        <v>50.352941176470587</v>
      </c>
    </row>
    <row r="16" spans="1:42" x14ac:dyDescent="0.25">
      <c r="A16" s="3">
        <v>8</v>
      </c>
      <c r="B16" s="35" t="str">
        <f>('1st Term'!B16)</f>
        <v>ENEJOH PHINEHAS</v>
      </c>
      <c r="C16" s="43">
        <v>28</v>
      </c>
      <c r="D16" s="43">
        <v>42</v>
      </c>
      <c r="E16" s="75">
        <v>19</v>
      </c>
      <c r="F16" s="75">
        <v>36</v>
      </c>
      <c r="G16" s="75">
        <v>24</v>
      </c>
      <c r="H16" s="75">
        <v>47</v>
      </c>
      <c r="I16" s="75">
        <v>17</v>
      </c>
      <c r="J16" s="75">
        <v>25</v>
      </c>
      <c r="K16" s="75">
        <v>29</v>
      </c>
      <c r="L16" s="75">
        <v>20</v>
      </c>
      <c r="M16" s="75">
        <v>19</v>
      </c>
      <c r="N16" s="75">
        <v>16</v>
      </c>
      <c r="O16" s="75">
        <v>25</v>
      </c>
      <c r="P16" s="75">
        <v>27</v>
      </c>
      <c r="Q16" s="75">
        <v>18</v>
      </c>
      <c r="R16" s="75">
        <v>20</v>
      </c>
      <c r="S16" s="74"/>
      <c r="T16" s="74"/>
      <c r="U16" s="75">
        <v>14</v>
      </c>
      <c r="V16" s="75">
        <v>28</v>
      </c>
      <c r="W16" s="75">
        <v>24</v>
      </c>
      <c r="X16" s="75">
        <v>22</v>
      </c>
      <c r="Y16" s="75">
        <v>16</v>
      </c>
      <c r="Z16" s="75">
        <v>15</v>
      </c>
      <c r="AA16" s="74"/>
      <c r="AB16" s="74"/>
      <c r="AC16" s="75">
        <v>12</v>
      </c>
      <c r="AD16" s="75">
        <v>19</v>
      </c>
      <c r="AE16" s="75">
        <v>25</v>
      </c>
      <c r="AF16" s="75">
        <v>29</v>
      </c>
      <c r="AG16" s="43">
        <v>29</v>
      </c>
      <c r="AH16" s="43">
        <v>30</v>
      </c>
      <c r="AI16" s="75">
        <v>18</v>
      </c>
      <c r="AJ16" s="75">
        <v>22</v>
      </c>
      <c r="AK16" s="75">
        <v>16</v>
      </c>
      <c r="AL16" s="75">
        <v>36</v>
      </c>
      <c r="AM16" s="75">
        <v>21</v>
      </c>
      <c r="AN16" s="75">
        <v>15</v>
      </c>
      <c r="AO16" s="42">
        <f t="shared" si="0"/>
        <v>803</v>
      </c>
      <c r="AP16" s="32">
        <f t="shared" si="1"/>
        <v>47.235294117647058</v>
      </c>
    </row>
    <row r="17" spans="1:42" x14ac:dyDescent="0.25">
      <c r="A17" s="3">
        <v>9</v>
      </c>
      <c r="B17" s="35" t="str">
        <f>('1st Term'!B17)</f>
        <v>EWELUKWA FAVOUR</v>
      </c>
      <c r="C17" s="43">
        <v>29</v>
      </c>
      <c r="D17" s="43">
        <v>65</v>
      </c>
      <c r="E17" s="75">
        <v>26</v>
      </c>
      <c r="F17" s="75">
        <v>58</v>
      </c>
      <c r="G17" s="75">
        <v>26</v>
      </c>
      <c r="H17" s="75">
        <v>70</v>
      </c>
      <c r="I17" s="75">
        <v>18</v>
      </c>
      <c r="J17" s="75">
        <v>26</v>
      </c>
      <c r="K17" s="75">
        <v>30</v>
      </c>
      <c r="L17" s="75">
        <v>59</v>
      </c>
      <c r="M17" s="75">
        <v>20</v>
      </c>
      <c r="N17" s="75">
        <v>34</v>
      </c>
      <c r="O17" s="75">
        <v>25</v>
      </c>
      <c r="P17" s="75">
        <v>42</v>
      </c>
      <c r="Q17" s="75">
        <v>22</v>
      </c>
      <c r="R17" s="75">
        <v>48</v>
      </c>
      <c r="S17" s="74"/>
      <c r="T17" s="74"/>
      <c r="U17" s="75">
        <v>24</v>
      </c>
      <c r="V17" s="75">
        <v>59</v>
      </c>
      <c r="W17" s="75">
        <v>29</v>
      </c>
      <c r="X17" s="75">
        <v>62</v>
      </c>
      <c r="Y17" s="75">
        <v>21</v>
      </c>
      <c r="Z17" s="75">
        <v>36</v>
      </c>
      <c r="AA17" s="74"/>
      <c r="AB17" s="74"/>
      <c r="AC17" s="75">
        <v>20</v>
      </c>
      <c r="AD17" s="75">
        <v>41</v>
      </c>
      <c r="AE17" s="75">
        <v>25</v>
      </c>
      <c r="AF17" s="75">
        <v>52</v>
      </c>
      <c r="AG17" s="43">
        <v>26</v>
      </c>
      <c r="AH17" s="43">
        <v>40</v>
      </c>
      <c r="AI17" s="75">
        <v>17</v>
      </c>
      <c r="AJ17" s="75">
        <v>24</v>
      </c>
      <c r="AK17" s="75">
        <v>18</v>
      </c>
      <c r="AL17" s="75">
        <v>60</v>
      </c>
      <c r="AM17" s="75">
        <v>18</v>
      </c>
      <c r="AN17" s="75">
        <v>50</v>
      </c>
      <c r="AO17" s="42">
        <f t="shared" si="0"/>
        <v>1220</v>
      </c>
      <c r="AP17" s="32">
        <f t="shared" si="1"/>
        <v>71.764705882352942</v>
      </c>
    </row>
    <row r="18" spans="1:42" x14ac:dyDescent="0.25">
      <c r="A18" s="3">
        <v>10</v>
      </c>
      <c r="B18" s="35" t="str">
        <f>('1st Term'!B18)</f>
        <v>HAMMED OLAMIDE</v>
      </c>
      <c r="C18" s="43">
        <v>28</v>
      </c>
      <c r="D18" s="43">
        <v>5</v>
      </c>
      <c r="E18" s="75">
        <v>12</v>
      </c>
      <c r="F18" s="75">
        <v>11</v>
      </c>
      <c r="G18" s="75">
        <v>16</v>
      </c>
      <c r="H18" s="75">
        <v>13</v>
      </c>
      <c r="I18" s="75">
        <v>14</v>
      </c>
      <c r="J18" s="75">
        <v>7</v>
      </c>
      <c r="K18" s="75">
        <v>12</v>
      </c>
      <c r="L18" s="75">
        <v>27</v>
      </c>
      <c r="M18" s="75">
        <v>10</v>
      </c>
      <c r="N18" s="75">
        <v>15</v>
      </c>
      <c r="O18" s="75">
        <v>18</v>
      </c>
      <c r="P18" s="75">
        <v>20</v>
      </c>
      <c r="Q18" s="75">
        <v>13</v>
      </c>
      <c r="R18" s="75">
        <v>20</v>
      </c>
      <c r="S18" s="74"/>
      <c r="T18" s="74"/>
      <c r="U18" s="75">
        <v>11</v>
      </c>
      <c r="V18" s="75">
        <v>3</v>
      </c>
      <c r="W18" s="75">
        <v>11</v>
      </c>
      <c r="X18" s="75">
        <v>14</v>
      </c>
      <c r="Y18" s="75">
        <v>15</v>
      </c>
      <c r="Z18" s="75">
        <v>15</v>
      </c>
      <c r="AA18" s="74"/>
      <c r="AB18" s="74"/>
      <c r="AC18" s="75">
        <v>12</v>
      </c>
      <c r="AD18" s="75">
        <v>3</v>
      </c>
      <c r="AE18" s="75">
        <v>25</v>
      </c>
      <c r="AF18" s="75">
        <v>15</v>
      </c>
      <c r="AG18" s="43">
        <v>30</v>
      </c>
      <c r="AH18" s="43">
        <v>20</v>
      </c>
      <c r="AI18" s="75">
        <v>23</v>
      </c>
      <c r="AJ18" s="75">
        <v>55</v>
      </c>
      <c r="AK18" s="75">
        <v>14</v>
      </c>
      <c r="AL18" s="75">
        <v>26</v>
      </c>
      <c r="AM18" s="75">
        <v>12</v>
      </c>
      <c r="AN18" s="75">
        <v>19</v>
      </c>
      <c r="AO18" s="42">
        <f t="shared" si="0"/>
        <v>564</v>
      </c>
      <c r="AP18" s="32">
        <f t="shared" si="1"/>
        <v>33.176470588235297</v>
      </c>
    </row>
    <row r="19" spans="1:42" x14ac:dyDescent="0.25">
      <c r="A19" s="3">
        <v>11</v>
      </c>
      <c r="B19" s="35" t="str">
        <f>('1st Term'!B19)</f>
        <v>HAMZAT AKOREDE</v>
      </c>
      <c r="C19" s="43">
        <v>28</v>
      </c>
      <c r="D19" s="43">
        <v>27</v>
      </c>
      <c r="E19" s="75">
        <v>17</v>
      </c>
      <c r="F19" s="75">
        <v>42</v>
      </c>
      <c r="G19" s="75">
        <v>15</v>
      </c>
      <c r="H19" s="75">
        <v>34</v>
      </c>
      <c r="I19" s="75">
        <v>15</v>
      </c>
      <c r="J19" s="75">
        <v>22</v>
      </c>
      <c r="K19" s="75">
        <v>17</v>
      </c>
      <c r="L19" s="75">
        <v>33</v>
      </c>
      <c r="M19" s="75">
        <v>14</v>
      </c>
      <c r="N19" s="75">
        <v>15</v>
      </c>
      <c r="O19" s="75">
        <v>24</v>
      </c>
      <c r="P19" s="75">
        <v>18</v>
      </c>
      <c r="Q19" s="75">
        <v>11</v>
      </c>
      <c r="R19" s="75">
        <v>20</v>
      </c>
      <c r="S19" s="74"/>
      <c r="T19" s="74"/>
      <c r="U19" s="75">
        <v>14</v>
      </c>
      <c r="V19" s="75">
        <v>48</v>
      </c>
      <c r="W19" s="75">
        <v>11</v>
      </c>
      <c r="X19" s="75">
        <v>32</v>
      </c>
      <c r="Y19" s="75">
        <v>21</v>
      </c>
      <c r="Z19" s="75">
        <v>20</v>
      </c>
      <c r="AA19" s="74"/>
      <c r="AB19" s="74"/>
      <c r="AC19" s="75">
        <v>16</v>
      </c>
      <c r="AD19" s="75">
        <v>28</v>
      </c>
      <c r="AE19" s="75">
        <v>15</v>
      </c>
      <c r="AF19" s="75">
        <v>30</v>
      </c>
      <c r="AG19" s="43">
        <v>30</v>
      </c>
      <c r="AH19" s="43">
        <v>13</v>
      </c>
      <c r="AI19" s="75">
        <v>11</v>
      </c>
      <c r="AJ19" s="75">
        <v>7</v>
      </c>
      <c r="AK19" s="75">
        <v>13</v>
      </c>
      <c r="AL19" s="75">
        <v>32</v>
      </c>
      <c r="AM19" s="75">
        <v>12</v>
      </c>
      <c r="AN19" s="75">
        <v>19</v>
      </c>
      <c r="AO19" s="42">
        <f t="shared" si="0"/>
        <v>724</v>
      </c>
      <c r="AP19" s="32">
        <f t="shared" si="1"/>
        <v>42.588235294117645</v>
      </c>
    </row>
    <row r="20" spans="1:42" x14ac:dyDescent="0.25">
      <c r="A20" s="3">
        <v>12</v>
      </c>
      <c r="B20" s="35" t="str">
        <f>('1st Term'!B20)</f>
        <v>JAMES DIVINE</v>
      </c>
      <c r="C20" s="43"/>
      <c r="D20" s="4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43"/>
      <c r="AH20" s="43"/>
      <c r="AI20" s="74"/>
      <c r="AJ20" s="74"/>
      <c r="AK20" s="74"/>
      <c r="AL20" s="74"/>
      <c r="AM20" s="74"/>
      <c r="AN20" s="74"/>
      <c r="AO20" s="42">
        <f t="shared" si="0"/>
        <v>0</v>
      </c>
      <c r="AP20" s="32">
        <f t="shared" si="1"/>
        <v>0</v>
      </c>
    </row>
    <row r="21" spans="1:42" x14ac:dyDescent="0.25">
      <c r="A21" s="3">
        <v>13</v>
      </c>
      <c r="B21" s="35" t="str">
        <f>('1st Term'!B21)</f>
        <v>JOEL JOSHUA</v>
      </c>
      <c r="C21" s="43">
        <v>28</v>
      </c>
      <c r="D21" s="43">
        <v>36</v>
      </c>
      <c r="E21" s="75">
        <v>22</v>
      </c>
      <c r="F21" s="75">
        <v>53</v>
      </c>
      <c r="G21" s="75">
        <v>27</v>
      </c>
      <c r="H21" s="75">
        <v>46</v>
      </c>
      <c r="I21" s="75">
        <v>15</v>
      </c>
      <c r="J21" s="75">
        <v>22</v>
      </c>
      <c r="K21" s="75">
        <v>17</v>
      </c>
      <c r="L21" s="75">
        <v>32</v>
      </c>
      <c r="M21" s="75">
        <v>14</v>
      </c>
      <c r="N21" s="75">
        <v>21</v>
      </c>
      <c r="O21" s="75">
        <v>24</v>
      </c>
      <c r="P21" s="75">
        <v>34</v>
      </c>
      <c r="Q21" s="75">
        <v>21</v>
      </c>
      <c r="R21" s="75">
        <v>45</v>
      </c>
      <c r="S21" s="74"/>
      <c r="T21" s="74"/>
      <c r="U21" s="75">
        <v>18</v>
      </c>
      <c r="V21" s="75">
        <v>52</v>
      </c>
      <c r="W21" s="75">
        <v>19</v>
      </c>
      <c r="X21" s="75">
        <v>36</v>
      </c>
      <c r="Y21" s="75">
        <v>20</v>
      </c>
      <c r="Z21" s="75">
        <v>30</v>
      </c>
      <c r="AA21" s="74"/>
      <c r="AB21" s="74"/>
      <c r="AC21" s="75">
        <v>22</v>
      </c>
      <c r="AD21" s="75">
        <v>22</v>
      </c>
      <c r="AE21" s="75">
        <v>20</v>
      </c>
      <c r="AF21" s="75">
        <v>16</v>
      </c>
      <c r="AG21" s="43">
        <v>29</v>
      </c>
      <c r="AH21" s="43">
        <v>22</v>
      </c>
      <c r="AI21" s="75">
        <v>22</v>
      </c>
      <c r="AJ21" s="75">
        <v>37</v>
      </c>
      <c r="AK21" s="75">
        <v>17</v>
      </c>
      <c r="AL21" s="75">
        <v>29</v>
      </c>
      <c r="AM21" s="75">
        <v>13</v>
      </c>
      <c r="AN21" s="75">
        <v>30</v>
      </c>
      <c r="AO21" s="42">
        <f t="shared" si="0"/>
        <v>911</v>
      </c>
      <c r="AP21" s="32">
        <f t="shared" si="1"/>
        <v>53.588235294117645</v>
      </c>
    </row>
    <row r="22" spans="1:42" x14ac:dyDescent="0.25">
      <c r="A22" s="3">
        <v>14</v>
      </c>
      <c r="B22" s="35" t="str">
        <f>('1st Term'!B22)</f>
        <v>JOSIAH SUNDAY</v>
      </c>
      <c r="C22" s="43">
        <v>28</v>
      </c>
      <c r="D22" s="43">
        <v>36</v>
      </c>
      <c r="E22" s="75">
        <v>25</v>
      </c>
      <c r="F22" s="75">
        <v>38</v>
      </c>
      <c r="G22" s="75">
        <v>30</v>
      </c>
      <c r="H22" s="75">
        <v>36</v>
      </c>
      <c r="I22" s="75">
        <v>15</v>
      </c>
      <c r="J22" s="75">
        <v>25</v>
      </c>
      <c r="K22" s="75">
        <v>24</v>
      </c>
      <c r="L22" s="75">
        <v>24</v>
      </c>
      <c r="M22" s="75">
        <v>14</v>
      </c>
      <c r="N22" s="75">
        <v>21</v>
      </c>
      <c r="O22" s="75">
        <v>20</v>
      </c>
      <c r="P22" s="75">
        <v>33</v>
      </c>
      <c r="Q22" s="75">
        <v>20</v>
      </c>
      <c r="R22" s="75">
        <v>35</v>
      </c>
      <c r="S22" s="74"/>
      <c r="T22" s="74"/>
      <c r="U22" s="75">
        <v>19</v>
      </c>
      <c r="V22" s="75">
        <v>50</v>
      </c>
      <c r="W22" s="75">
        <v>24</v>
      </c>
      <c r="X22" s="75">
        <v>27</v>
      </c>
      <c r="Y22" s="75">
        <v>20</v>
      </c>
      <c r="Z22" s="75">
        <v>30</v>
      </c>
      <c r="AA22" s="74"/>
      <c r="AB22" s="74"/>
      <c r="AC22" s="75">
        <v>22</v>
      </c>
      <c r="AD22" s="75">
        <v>21</v>
      </c>
      <c r="AE22" s="75">
        <v>30</v>
      </c>
      <c r="AF22" s="75">
        <v>60</v>
      </c>
      <c r="AG22" s="43">
        <v>28</v>
      </c>
      <c r="AH22" s="43">
        <v>18</v>
      </c>
      <c r="AI22" s="75">
        <v>19</v>
      </c>
      <c r="AJ22" s="75">
        <v>37</v>
      </c>
      <c r="AK22" s="75">
        <v>17</v>
      </c>
      <c r="AL22" s="75">
        <v>33</v>
      </c>
      <c r="AM22" s="75">
        <v>24</v>
      </c>
      <c r="AN22" s="75">
        <v>34</v>
      </c>
      <c r="AO22" s="42">
        <f t="shared" si="0"/>
        <v>937</v>
      </c>
      <c r="AP22" s="32">
        <f t="shared" si="1"/>
        <v>55.117647058823529</v>
      </c>
    </row>
    <row r="23" spans="1:42" x14ac:dyDescent="0.25">
      <c r="A23" s="3">
        <v>15</v>
      </c>
      <c r="B23" s="35" t="str">
        <f>('1st Term'!B23)</f>
        <v>KUFRE GOODNEWS</v>
      </c>
      <c r="C23" s="43">
        <v>28</v>
      </c>
      <c r="D23" s="43">
        <v>30</v>
      </c>
      <c r="E23" s="75">
        <v>20</v>
      </c>
      <c r="F23" s="75">
        <v>44</v>
      </c>
      <c r="G23" s="75">
        <v>26</v>
      </c>
      <c r="H23" s="75">
        <v>65</v>
      </c>
      <c r="I23" s="75">
        <v>16</v>
      </c>
      <c r="J23" s="75">
        <v>20</v>
      </c>
      <c r="K23" s="75">
        <v>13</v>
      </c>
      <c r="L23" s="75">
        <v>22</v>
      </c>
      <c r="M23" s="75">
        <v>15</v>
      </c>
      <c r="N23" s="75">
        <v>14</v>
      </c>
      <c r="O23" s="75">
        <v>23</v>
      </c>
      <c r="P23" s="75">
        <v>26</v>
      </c>
      <c r="Q23" s="75">
        <v>17</v>
      </c>
      <c r="R23" s="75">
        <v>29</v>
      </c>
      <c r="S23" s="74"/>
      <c r="T23" s="74"/>
      <c r="U23" s="75">
        <v>17</v>
      </c>
      <c r="V23" s="75">
        <v>40</v>
      </c>
      <c r="W23" s="75">
        <v>18</v>
      </c>
      <c r="X23" s="75">
        <v>37</v>
      </c>
      <c r="Y23" s="75">
        <v>25</v>
      </c>
      <c r="Z23" s="75">
        <v>25</v>
      </c>
      <c r="AA23" s="74"/>
      <c r="AB23" s="74"/>
      <c r="AC23" s="75">
        <v>12</v>
      </c>
      <c r="AD23" s="75">
        <v>30</v>
      </c>
      <c r="AE23" s="75">
        <v>20</v>
      </c>
      <c r="AF23" s="75">
        <v>10</v>
      </c>
      <c r="AG23" s="43">
        <v>29</v>
      </c>
      <c r="AH23" s="43">
        <v>35</v>
      </c>
      <c r="AI23" s="75">
        <v>22</v>
      </c>
      <c r="AJ23" s="75">
        <v>23</v>
      </c>
      <c r="AK23" s="75">
        <v>16</v>
      </c>
      <c r="AL23" s="75">
        <v>29</v>
      </c>
      <c r="AM23" s="75">
        <v>22</v>
      </c>
      <c r="AN23" s="75">
        <v>15</v>
      </c>
      <c r="AO23" s="42">
        <f t="shared" si="0"/>
        <v>833</v>
      </c>
      <c r="AP23" s="32">
        <f t="shared" si="1"/>
        <v>49</v>
      </c>
    </row>
    <row r="24" spans="1:42" x14ac:dyDescent="0.25">
      <c r="A24" s="3">
        <v>16</v>
      </c>
      <c r="B24" s="35" t="str">
        <f>('1st Term'!B24)</f>
        <v>NWABUEZE FAVOUR</v>
      </c>
      <c r="C24" s="43">
        <v>28</v>
      </c>
      <c r="D24" s="43">
        <v>60</v>
      </c>
      <c r="E24" s="75">
        <v>30</v>
      </c>
      <c r="F24" s="75">
        <v>63</v>
      </c>
      <c r="G24" s="75">
        <v>30</v>
      </c>
      <c r="H24" s="75">
        <v>66</v>
      </c>
      <c r="I24" s="75">
        <v>22</v>
      </c>
      <c r="J24" s="75">
        <v>33</v>
      </c>
      <c r="K24" s="75">
        <v>30</v>
      </c>
      <c r="L24" s="75">
        <v>54</v>
      </c>
      <c r="M24" s="75">
        <v>19</v>
      </c>
      <c r="N24" s="75">
        <v>44</v>
      </c>
      <c r="O24" s="75">
        <v>25</v>
      </c>
      <c r="P24" s="75">
        <v>35</v>
      </c>
      <c r="Q24" s="75">
        <v>22</v>
      </c>
      <c r="R24" s="75">
        <v>40</v>
      </c>
      <c r="S24" s="74"/>
      <c r="T24" s="74"/>
      <c r="U24" s="75">
        <v>25</v>
      </c>
      <c r="V24" s="75">
        <v>52</v>
      </c>
      <c r="W24" s="75">
        <v>29</v>
      </c>
      <c r="X24" s="75">
        <v>65</v>
      </c>
      <c r="Y24" s="75">
        <v>23</v>
      </c>
      <c r="Z24" s="75">
        <v>47</v>
      </c>
      <c r="AA24" s="74"/>
      <c r="AB24" s="74"/>
      <c r="AC24" s="75">
        <v>30</v>
      </c>
      <c r="AD24" s="75">
        <v>52</v>
      </c>
      <c r="AE24" s="75">
        <v>20</v>
      </c>
      <c r="AF24" s="75">
        <v>54</v>
      </c>
      <c r="AG24" s="43">
        <v>27</v>
      </c>
      <c r="AH24" s="43">
        <v>40</v>
      </c>
      <c r="AI24" s="75">
        <v>28</v>
      </c>
      <c r="AJ24" s="75">
        <v>52</v>
      </c>
      <c r="AK24" s="75">
        <v>27</v>
      </c>
      <c r="AL24" s="75">
        <v>60</v>
      </c>
      <c r="AM24" s="75">
        <v>20</v>
      </c>
      <c r="AN24" s="75">
        <v>63</v>
      </c>
      <c r="AO24" s="42">
        <f t="shared" si="0"/>
        <v>1315</v>
      </c>
      <c r="AP24" s="32">
        <f t="shared" si="1"/>
        <v>77.352941176470594</v>
      </c>
    </row>
    <row r="25" spans="1:42" x14ac:dyDescent="0.25">
      <c r="A25" s="3">
        <v>17</v>
      </c>
      <c r="B25" s="35" t="str">
        <f>('1st Term'!B25)</f>
        <v>NWABUEZE VICTOR</v>
      </c>
      <c r="C25" s="43">
        <v>28</v>
      </c>
      <c r="D25" s="43">
        <v>26</v>
      </c>
      <c r="E25" s="75">
        <v>20</v>
      </c>
      <c r="F25" s="75">
        <v>61</v>
      </c>
      <c r="G25" s="75">
        <v>17</v>
      </c>
      <c r="H25" s="75">
        <v>48</v>
      </c>
      <c r="I25" s="75">
        <v>14</v>
      </c>
      <c r="J25" s="75">
        <v>12</v>
      </c>
      <c r="K25" s="75">
        <v>17</v>
      </c>
      <c r="L25" s="75">
        <v>26</v>
      </c>
      <c r="M25" s="75">
        <v>13</v>
      </c>
      <c r="N25" s="75">
        <v>13</v>
      </c>
      <c r="O25" s="75">
        <v>26</v>
      </c>
      <c r="P25" s="75">
        <v>27</v>
      </c>
      <c r="Q25" s="75">
        <v>19</v>
      </c>
      <c r="R25" s="75">
        <v>35</v>
      </c>
      <c r="S25" s="74"/>
      <c r="T25" s="74"/>
      <c r="U25" s="75">
        <v>14</v>
      </c>
      <c r="V25" s="75">
        <v>24</v>
      </c>
      <c r="W25" s="75">
        <v>22</v>
      </c>
      <c r="X25" s="75">
        <v>34</v>
      </c>
      <c r="Y25" s="75">
        <v>20</v>
      </c>
      <c r="Z25" s="75">
        <v>25</v>
      </c>
      <c r="AA25" s="74"/>
      <c r="AB25" s="74"/>
      <c r="AC25" s="75">
        <v>12</v>
      </c>
      <c r="AD25" s="75">
        <v>21</v>
      </c>
      <c r="AE25" s="75">
        <v>25</v>
      </c>
      <c r="AF25" s="75">
        <v>18</v>
      </c>
      <c r="AG25" s="43">
        <v>28</v>
      </c>
      <c r="AH25" s="43">
        <v>30</v>
      </c>
      <c r="AI25" s="75">
        <v>18</v>
      </c>
      <c r="AJ25" s="75">
        <v>22</v>
      </c>
      <c r="AK25" s="75">
        <v>21</v>
      </c>
      <c r="AL25" s="75">
        <v>43</v>
      </c>
      <c r="AM25" s="75">
        <v>17</v>
      </c>
      <c r="AN25" s="75">
        <v>30</v>
      </c>
      <c r="AO25" s="42">
        <f t="shared" si="0"/>
        <v>826</v>
      </c>
      <c r="AP25" s="32">
        <f t="shared" si="1"/>
        <v>48.588235294117645</v>
      </c>
    </row>
    <row r="26" spans="1:42" x14ac:dyDescent="0.25">
      <c r="A26" s="3">
        <v>18</v>
      </c>
      <c r="B26" s="35" t="str">
        <f>('1st Term'!B26)</f>
        <v>ONYINYECHI ANITA</v>
      </c>
      <c r="C26" s="43">
        <v>28</v>
      </c>
      <c r="D26" s="43">
        <v>60</v>
      </c>
      <c r="E26" s="75">
        <v>26</v>
      </c>
      <c r="F26" s="75">
        <v>55</v>
      </c>
      <c r="G26" s="75">
        <v>30</v>
      </c>
      <c r="H26" s="75">
        <v>69</v>
      </c>
      <c r="I26" s="75">
        <v>20</v>
      </c>
      <c r="J26" s="75">
        <v>35</v>
      </c>
      <c r="K26" s="75">
        <v>30</v>
      </c>
      <c r="L26" s="75">
        <v>59</v>
      </c>
      <c r="M26" s="75">
        <v>27</v>
      </c>
      <c r="N26" s="75">
        <v>31</v>
      </c>
      <c r="O26" s="75">
        <v>23</v>
      </c>
      <c r="P26" s="75">
        <v>38</v>
      </c>
      <c r="Q26" s="75">
        <v>29</v>
      </c>
      <c r="R26" s="75">
        <v>59</v>
      </c>
      <c r="S26" s="74"/>
      <c r="T26" s="74"/>
      <c r="U26" s="75">
        <v>16</v>
      </c>
      <c r="V26" s="75">
        <v>58</v>
      </c>
      <c r="W26" s="75">
        <v>29</v>
      </c>
      <c r="X26" s="75">
        <v>59</v>
      </c>
      <c r="Y26" s="75">
        <v>25</v>
      </c>
      <c r="Z26" s="75">
        <v>40</v>
      </c>
      <c r="AA26" s="74"/>
      <c r="AB26" s="74"/>
      <c r="AC26" s="75">
        <v>24</v>
      </c>
      <c r="AD26" s="75">
        <v>53</v>
      </c>
      <c r="AE26" s="75">
        <v>25</v>
      </c>
      <c r="AF26" s="75">
        <v>21</v>
      </c>
      <c r="AG26" s="43">
        <v>27</v>
      </c>
      <c r="AH26" s="43">
        <v>50</v>
      </c>
      <c r="AI26" s="75">
        <v>27</v>
      </c>
      <c r="AJ26" s="75">
        <v>43</v>
      </c>
      <c r="AK26" s="75">
        <v>20</v>
      </c>
      <c r="AL26" s="75">
        <v>65</v>
      </c>
      <c r="AM26" s="75">
        <v>25</v>
      </c>
      <c r="AN26" s="75">
        <v>50</v>
      </c>
      <c r="AO26" s="42">
        <f t="shared" si="0"/>
        <v>1276</v>
      </c>
      <c r="AP26" s="32">
        <f t="shared" si="1"/>
        <v>75.058823529411768</v>
      </c>
    </row>
    <row r="27" spans="1:42" x14ac:dyDescent="0.25">
      <c r="A27" s="3">
        <v>19</v>
      </c>
      <c r="B27" s="35" t="str">
        <f>('1st Term'!B27)</f>
        <v>ORIAKU BRIGHT</v>
      </c>
      <c r="C27" s="43">
        <v>28</v>
      </c>
      <c r="D27" s="43">
        <v>26</v>
      </c>
      <c r="E27" s="75">
        <v>24</v>
      </c>
      <c r="F27" s="75">
        <v>29</v>
      </c>
      <c r="G27" s="75">
        <v>30</v>
      </c>
      <c r="H27" s="75">
        <v>69</v>
      </c>
      <c r="I27" s="75">
        <v>17</v>
      </c>
      <c r="J27" s="75">
        <v>20</v>
      </c>
      <c r="K27" s="75">
        <v>21</v>
      </c>
      <c r="L27" s="75">
        <v>26</v>
      </c>
      <c r="M27" s="75">
        <v>16</v>
      </c>
      <c r="N27" s="75">
        <v>26</v>
      </c>
      <c r="O27" s="75">
        <v>20</v>
      </c>
      <c r="P27" s="75">
        <v>28</v>
      </c>
      <c r="Q27" s="75">
        <v>17</v>
      </c>
      <c r="R27" s="75">
        <v>22</v>
      </c>
      <c r="S27" s="74"/>
      <c r="T27" s="74"/>
      <c r="U27" s="75">
        <v>20</v>
      </c>
      <c r="V27" s="75">
        <v>55</v>
      </c>
      <c r="W27" s="75">
        <v>18</v>
      </c>
      <c r="X27" s="75">
        <v>23</v>
      </c>
      <c r="Y27" s="75">
        <v>23</v>
      </c>
      <c r="Z27" s="75">
        <v>38</v>
      </c>
      <c r="AA27" s="74"/>
      <c r="AB27" s="74"/>
      <c r="AC27" s="75">
        <v>12</v>
      </c>
      <c r="AD27" s="75">
        <v>26</v>
      </c>
      <c r="AE27" s="75">
        <v>20</v>
      </c>
      <c r="AF27" s="75">
        <v>53</v>
      </c>
      <c r="AG27" s="43">
        <v>27</v>
      </c>
      <c r="AH27" s="43">
        <v>35</v>
      </c>
      <c r="AI27" s="75">
        <v>26</v>
      </c>
      <c r="AJ27" s="75">
        <v>29</v>
      </c>
      <c r="AK27" s="75">
        <v>18</v>
      </c>
      <c r="AL27" s="75">
        <v>44</v>
      </c>
      <c r="AM27" s="75">
        <v>24</v>
      </c>
      <c r="AN27" s="75">
        <v>42</v>
      </c>
      <c r="AO27" s="42">
        <f t="shared" si="0"/>
        <v>952</v>
      </c>
      <c r="AP27" s="32">
        <f t="shared" si="1"/>
        <v>56</v>
      </c>
    </row>
    <row r="28" spans="1:42" x14ac:dyDescent="0.25">
      <c r="A28" s="3">
        <v>20</v>
      </c>
      <c r="B28" s="35" t="str">
        <f>('1st Term'!B28)</f>
        <v>SAKA FAREED</v>
      </c>
      <c r="C28" s="43">
        <v>30</v>
      </c>
      <c r="D28" s="43">
        <v>68</v>
      </c>
      <c r="E28" s="75">
        <v>30</v>
      </c>
      <c r="F28" s="75">
        <v>63</v>
      </c>
      <c r="G28" s="75">
        <v>30</v>
      </c>
      <c r="H28" s="75">
        <v>69</v>
      </c>
      <c r="I28" s="75">
        <v>20</v>
      </c>
      <c r="J28" s="75">
        <v>30</v>
      </c>
      <c r="K28" s="75">
        <v>23</v>
      </c>
      <c r="L28" s="75">
        <v>50</v>
      </c>
      <c r="M28" s="75">
        <v>23</v>
      </c>
      <c r="N28" s="75">
        <v>41</v>
      </c>
      <c r="O28" s="75">
        <v>26</v>
      </c>
      <c r="P28" s="75">
        <v>28</v>
      </c>
      <c r="Q28" s="75">
        <v>27</v>
      </c>
      <c r="R28" s="75">
        <v>65</v>
      </c>
      <c r="S28" s="74"/>
      <c r="T28" s="74"/>
      <c r="U28" s="75">
        <v>16</v>
      </c>
      <c r="V28" s="75">
        <v>33</v>
      </c>
      <c r="W28" s="75">
        <v>28</v>
      </c>
      <c r="X28" s="75">
        <v>56</v>
      </c>
      <c r="Y28" s="75">
        <v>24</v>
      </c>
      <c r="Z28" s="75">
        <v>46</v>
      </c>
      <c r="AA28" s="74"/>
      <c r="AB28" s="74"/>
      <c r="AC28" s="75">
        <v>19</v>
      </c>
      <c r="AD28" s="75">
        <v>33</v>
      </c>
      <c r="AE28" s="75">
        <v>30</v>
      </c>
      <c r="AF28" s="75">
        <v>64</v>
      </c>
      <c r="AG28" s="43">
        <v>30</v>
      </c>
      <c r="AH28" s="43">
        <v>64</v>
      </c>
      <c r="AI28" s="75">
        <v>24</v>
      </c>
      <c r="AJ28" s="75">
        <v>36</v>
      </c>
      <c r="AK28" s="75">
        <v>19</v>
      </c>
      <c r="AL28" s="75">
        <v>57</v>
      </c>
      <c r="AM28" s="75">
        <v>25</v>
      </c>
      <c r="AN28" s="75">
        <v>51</v>
      </c>
      <c r="AO28" s="42">
        <f t="shared" si="0"/>
        <v>1278</v>
      </c>
      <c r="AP28" s="32">
        <f t="shared" si="1"/>
        <v>75.17647058823529</v>
      </c>
    </row>
    <row r="29" spans="1:42" x14ac:dyDescent="0.25">
      <c r="A29" s="3">
        <v>21</v>
      </c>
      <c r="B29" s="35" t="str">
        <f>('1st Term'!B29)</f>
        <v>VICTOR LOVETH</v>
      </c>
      <c r="C29" s="43">
        <v>28</v>
      </c>
      <c r="D29" s="43">
        <v>62</v>
      </c>
      <c r="E29" s="75">
        <v>27</v>
      </c>
      <c r="F29" s="75">
        <v>61</v>
      </c>
      <c r="G29" s="75">
        <v>30</v>
      </c>
      <c r="H29" s="75">
        <v>64</v>
      </c>
      <c r="I29" s="75">
        <v>22</v>
      </c>
      <c r="J29" s="75">
        <v>43</v>
      </c>
      <c r="K29" s="75">
        <v>30</v>
      </c>
      <c r="L29" s="75">
        <v>62</v>
      </c>
      <c r="M29" s="75">
        <v>21</v>
      </c>
      <c r="N29" s="75">
        <v>20</v>
      </c>
      <c r="O29" s="75">
        <v>25</v>
      </c>
      <c r="P29" s="75">
        <v>45</v>
      </c>
      <c r="Q29" s="75">
        <v>22</v>
      </c>
      <c r="R29" s="75">
        <v>48</v>
      </c>
      <c r="S29" s="74"/>
      <c r="T29" s="74"/>
      <c r="U29" s="75">
        <v>27</v>
      </c>
      <c r="V29" s="75">
        <v>61</v>
      </c>
      <c r="W29" s="75">
        <v>29</v>
      </c>
      <c r="X29" s="75">
        <v>52</v>
      </c>
      <c r="Y29" s="75">
        <v>22</v>
      </c>
      <c r="Z29" s="75">
        <v>38</v>
      </c>
      <c r="AA29" s="74"/>
      <c r="AB29" s="74"/>
      <c r="AC29" s="75">
        <v>29</v>
      </c>
      <c r="AD29" s="75">
        <v>16</v>
      </c>
      <c r="AE29" s="75">
        <v>25</v>
      </c>
      <c r="AF29" s="75">
        <v>45</v>
      </c>
      <c r="AG29" s="43">
        <v>27</v>
      </c>
      <c r="AH29" s="43">
        <v>45</v>
      </c>
      <c r="AI29" s="75">
        <v>25</v>
      </c>
      <c r="AJ29" s="75">
        <v>29</v>
      </c>
      <c r="AK29" s="75">
        <v>25</v>
      </c>
      <c r="AL29" s="75">
        <v>45</v>
      </c>
      <c r="AM29" s="75">
        <v>27</v>
      </c>
      <c r="AN29" s="75">
        <v>47</v>
      </c>
      <c r="AO29" s="42">
        <f t="shared" si="0"/>
        <v>1224</v>
      </c>
      <c r="AP29" s="32">
        <f t="shared" si="1"/>
        <v>72</v>
      </c>
    </row>
    <row r="30" spans="1:42" x14ac:dyDescent="0.25">
      <c r="A30" s="3">
        <v>22</v>
      </c>
      <c r="B30" s="35" t="str">
        <f>('1st Term'!B30)</f>
        <v>WASIU NIMOTALLAH</v>
      </c>
      <c r="C30" s="43">
        <v>28</v>
      </c>
      <c r="D30" s="43">
        <v>28</v>
      </c>
      <c r="E30" s="75">
        <v>24</v>
      </c>
      <c r="F30" s="75">
        <v>60</v>
      </c>
      <c r="G30" s="75">
        <v>26</v>
      </c>
      <c r="H30" s="75">
        <v>47</v>
      </c>
      <c r="I30" s="75">
        <v>15</v>
      </c>
      <c r="J30" s="75">
        <v>20</v>
      </c>
      <c r="K30" s="75">
        <v>30</v>
      </c>
      <c r="L30" s="75">
        <v>45</v>
      </c>
      <c r="M30" s="75">
        <v>13</v>
      </c>
      <c r="N30" s="75">
        <v>34</v>
      </c>
      <c r="O30" s="75">
        <v>23</v>
      </c>
      <c r="P30" s="75">
        <v>36</v>
      </c>
      <c r="Q30" s="75">
        <v>18</v>
      </c>
      <c r="R30" s="75">
        <v>35</v>
      </c>
      <c r="S30" s="74"/>
      <c r="T30" s="74"/>
      <c r="U30" s="75">
        <v>21</v>
      </c>
      <c r="V30" s="75">
        <v>51</v>
      </c>
      <c r="W30" s="75">
        <v>16</v>
      </c>
      <c r="X30" s="75">
        <v>55</v>
      </c>
      <c r="Y30" s="75">
        <v>22</v>
      </c>
      <c r="Z30" s="75">
        <v>38</v>
      </c>
      <c r="AA30" s="74"/>
      <c r="AB30" s="74"/>
      <c r="AC30" s="75">
        <v>14</v>
      </c>
      <c r="AD30" s="75">
        <v>31</v>
      </c>
      <c r="AE30" s="75">
        <v>20</v>
      </c>
      <c r="AF30" s="75">
        <v>35</v>
      </c>
      <c r="AG30" s="43">
        <v>26</v>
      </c>
      <c r="AH30" s="43">
        <v>30</v>
      </c>
      <c r="AI30" s="75">
        <v>20</v>
      </c>
      <c r="AJ30" s="75">
        <v>32</v>
      </c>
      <c r="AK30" s="75">
        <v>13</v>
      </c>
      <c r="AL30" s="75">
        <v>29</v>
      </c>
      <c r="AM30" s="75">
        <v>26</v>
      </c>
      <c r="AN30" s="75">
        <v>66</v>
      </c>
      <c r="AO30" s="42">
        <f t="shared" si="0"/>
        <v>1027</v>
      </c>
      <c r="AP30" s="32">
        <f t="shared" si="1"/>
        <v>60.411764705882355</v>
      </c>
    </row>
    <row r="31" spans="1:42" x14ac:dyDescent="0.25">
      <c r="A31" s="3">
        <v>23</v>
      </c>
      <c r="B31" s="3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4"/>
      <c r="T31" s="74"/>
      <c r="U31" s="75"/>
      <c r="V31" s="75"/>
      <c r="W31" s="75"/>
      <c r="X31" s="75"/>
      <c r="Y31" s="75"/>
      <c r="Z31" s="75"/>
      <c r="AA31" s="74"/>
      <c r="AB31" s="74"/>
      <c r="AC31" s="75"/>
      <c r="AD31" s="75"/>
      <c r="AE31" s="75"/>
      <c r="AF31" s="75"/>
      <c r="AG31" s="74"/>
      <c r="AH31" s="74"/>
      <c r="AI31" s="75"/>
      <c r="AJ31" s="75"/>
      <c r="AK31" s="75"/>
      <c r="AL31" s="75"/>
      <c r="AM31" s="75"/>
      <c r="AN31" s="75"/>
      <c r="AO31" s="42">
        <f t="shared" si="0"/>
        <v>0</v>
      </c>
      <c r="AP31" s="32">
        <f t="shared" si="1"/>
        <v>0</v>
      </c>
    </row>
    <row r="32" spans="1:42" x14ac:dyDescent="0.25">
      <c r="A32" s="3">
        <v>24</v>
      </c>
      <c r="B32" s="3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4"/>
      <c r="T32" s="74"/>
      <c r="U32" s="75"/>
      <c r="V32" s="75"/>
      <c r="W32" s="75"/>
      <c r="X32" s="75"/>
      <c r="Y32" s="75"/>
      <c r="Z32" s="75"/>
      <c r="AA32" s="74"/>
      <c r="AB32" s="74"/>
      <c r="AC32" s="75"/>
      <c r="AD32" s="75"/>
      <c r="AE32" s="75"/>
      <c r="AF32" s="75"/>
      <c r="AG32" s="74"/>
      <c r="AH32" s="74"/>
      <c r="AI32" s="75"/>
      <c r="AJ32" s="75"/>
      <c r="AK32" s="75"/>
      <c r="AL32" s="75"/>
      <c r="AM32" s="75"/>
      <c r="AN32" s="75"/>
      <c r="AO32" s="42">
        <f t="shared" si="0"/>
        <v>0</v>
      </c>
      <c r="AP32" s="32">
        <f t="shared" si="1"/>
        <v>0</v>
      </c>
    </row>
    <row r="33" spans="1:42" x14ac:dyDescent="0.25">
      <c r="A33" s="3">
        <v>25</v>
      </c>
      <c r="B33" s="3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4"/>
      <c r="T33" s="74"/>
      <c r="U33" s="75"/>
      <c r="V33" s="75"/>
      <c r="W33" s="75"/>
      <c r="X33" s="75"/>
      <c r="Y33" s="75"/>
      <c r="Z33" s="75"/>
      <c r="AA33" s="74"/>
      <c r="AB33" s="74"/>
      <c r="AC33" s="75"/>
      <c r="AD33" s="75"/>
      <c r="AE33" s="75"/>
      <c r="AF33" s="75"/>
      <c r="AG33" s="74"/>
      <c r="AH33" s="74"/>
      <c r="AI33" s="75"/>
      <c r="AJ33" s="75"/>
      <c r="AK33" s="75"/>
      <c r="AL33" s="75"/>
      <c r="AM33" s="75"/>
      <c r="AN33" s="75"/>
      <c r="AO33" s="42">
        <f t="shared" si="0"/>
        <v>0</v>
      </c>
      <c r="AP33" s="32">
        <f t="shared" si="1"/>
        <v>0</v>
      </c>
    </row>
    <row r="34" spans="1:42" x14ac:dyDescent="0.25">
      <c r="A34" s="3">
        <v>26</v>
      </c>
      <c r="B34" s="33"/>
      <c r="C34" s="71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3"/>
      <c r="T34" s="73"/>
      <c r="U34" s="72"/>
      <c r="V34" s="72"/>
      <c r="W34" s="72"/>
      <c r="X34" s="72"/>
      <c r="Y34" s="72"/>
      <c r="Z34" s="72"/>
      <c r="AA34" s="73"/>
      <c r="AB34" s="73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42">
        <f t="shared" si="0"/>
        <v>0</v>
      </c>
      <c r="AP34" s="32">
        <f t="shared" si="1"/>
        <v>0</v>
      </c>
    </row>
    <row r="35" spans="1:42" x14ac:dyDescent="0.25">
      <c r="A35" s="3">
        <v>27</v>
      </c>
      <c r="B35" s="33"/>
      <c r="C35" s="49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4"/>
      <c r="T35" s="44"/>
      <c r="U35" s="43"/>
      <c r="V35" s="43"/>
      <c r="W35" s="43"/>
      <c r="X35" s="43"/>
      <c r="Y35" s="43"/>
      <c r="Z35" s="43"/>
      <c r="AA35" s="44"/>
      <c r="AB35" s="44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2">
        <f t="shared" si="0"/>
        <v>0</v>
      </c>
      <c r="AP35" s="32">
        <f t="shared" si="1"/>
        <v>0</v>
      </c>
    </row>
    <row r="36" spans="1:42" x14ac:dyDescent="0.25">
      <c r="A36" s="3">
        <v>28</v>
      </c>
      <c r="B36" s="33"/>
      <c r="C36" s="49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4"/>
      <c r="T36" s="44"/>
      <c r="U36" s="43"/>
      <c r="V36" s="43"/>
      <c r="W36" s="43"/>
      <c r="X36" s="43"/>
      <c r="Y36" s="43"/>
      <c r="Z36" s="43"/>
      <c r="AA36" s="44"/>
      <c r="AB36" s="44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2">
        <f t="shared" si="0"/>
        <v>0</v>
      </c>
      <c r="AP36" s="32">
        <f t="shared" si="1"/>
        <v>0</v>
      </c>
    </row>
    <row r="37" spans="1:42" x14ac:dyDescent="0.25">
      <c r="A37" s="3">
        <v>29</v>
      </c>
      <c r="B37" s="33"/>
      <c r="C37" s="49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4"/>
      <c r="T37" s="44"/>
      <c r="U37" s="43"/>
      <c r="V37" s="43"/>
      <c r="W37" s="43"/>
      <c r="X37" s="43"/>
      <c r="Y37" s="43"/>
      <c r="Z37" s="43"/>
      <c r="AA37" s="44"/>
      <c r="AB37" s="44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2">
        <f t="shared" si="0"/>
        <v>0</v>
      </c>
      <c r="AP37" s="32">
        <f t="shared" si="1"/>
        <v>0</v>
      </c>
    </row>
    <row r="38" spans="1:42" x14ac:dyDescent="0.25">
      <c r="A38" s="3">
        <v>30</v>
      </c>
      <c r="B38" s="33"/>
      <c r="C38" s="49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4"/>
      <c r="T38" s="44"/>
      <c r="U38" s="43"/>
      <c r="V38" s="43"/>
      <c r="W38" s="43"/>
      <c r="X38" s="43"/>
      <c r="Y38" s="43"/>
      <c r="Z38" s="43"/>
      <c r="AA38" s="44"/>
      <c r="AB38" s="44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2">
        <f t="shared" si="0"/>
        <v>0</v>
      </c>
      <c r="AP38" s="32">
        <f t="shared" si="1"/>
        <v>0</v>
      </c>
    </row>
    <row r="39" spans="1:42" x14ac:dyDescent="0.25">
      <c r="A39" s="3">
        <v>31</v>
      </c>
      <c r="B39" s="33"/>
      <c r="C39" s="49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2">
        <f t="shared" si="0"/>
        <v>0</v>
      </c>
      <c r="AP39" s="32">
        <f t="shared" si="1"/>
        <v>0</v>
      </c>
    </row>
    <row r="40" spans="1:42" x14ac:dyDescent="0.25">
      <c r="A40" s="3">
        <v>32</v>
      </c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2">
        <f t="shared" si="0"/>
        <v>0</v>
      </c>
      <c r="AP40" s="32">
        <f t="shared" si="1"/>
        <v>0</v>
      </c>
    </row>
    <row r="41" spans="1:42" x14ac:dyDescent="0.25">
      <c r="A41" s="3">
        <v>33</v>
      </c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2">
        <f t="shared" si="0"/>
        <v>0</v>
      </c>
      <c r="AP41" s="32">
        <f t="shared" si="1"/>
        <v>0</v>
      </c>
    </row>
    <row r="42" spans="1:42" x14ac:dyDescent="0.25">
      <c r="A42" s="1">
        <v>34</v>
      </c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2">
        <f t="shared" si="0"/>
        <v>0</v>
      </c>
      <c r="AP42" s="32">
        <f t="shared" si="1"/>
        <v>0</v>
      </c>
    </row>
    <row r="43" spans="1:42" x14ac:dyDescent="0.25">
      <c r="A43" s="1">
        <v>35</v>
      </c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2">
        <f t="shared" si="0"/>
        <v>0</v>
      </c>
      <c r="AP43" s="32">
        <f t="shared" si="1"/>
        <v>0</v>
      </c>
    </row>
    <row r="44" spans="1:42" x14ac:dyDescent="0.25">
      <c r="A44" s="1">
        <v>36</v>
      </c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2">
        <f t="shared" si="0"/>
        <v>0</v>
      </c>
      <c r="AP44" s="32">
        <f t="shared" si="1"/>
        <v>0</v>
      </c>
    </row>
    <row r="45" spans="1:42" x14ac:dyDescent="0.25">
      <c r="A45" s="1">
        <v>37</v>
      </c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2">
        <f t="shared" si="0"/>
        <v>0</v>
      </c>
      <c r="AP45" s="32">
        <f t="shared" si="1"/>
        <v>0</v>
      </c>
    </row>
    <row r="46" spans="1:42" x14ac:dyDescent="0.25">
      <c r="A46" s="1">
        <v>38</v>
      </c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2">
        <f t="shared" si="0"/>
        <v>0</v>
      </c>
      <c r="AP46" s="32">
        <f t="shared" si="1"/>
        <v>0</v>
      </c>
    </row>
    <row r="47" spans="1:42" x14ac:dyDescent="0.25">
      <c r="A47" s="1">
        <v>39</v>
      </c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2">
        <f t="shared" si="0"/>
        <v>0</v>
      </c>
      <c r="AP47" s="32">
        <f t="shared" si="1"/>
        <v>0</v>
      </c>
    </row>
    <row r="48" spans="1:42" x14ac:dyDescent="0.25">
      <c r="A48" s="1">
        <v>40</v>
      </c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2">
        <f t="shared" si="0"/>
        <v>0</v>
      </c>
      <c r="AP48" s="32">
        <f t="shared" si="1"/>
        <v>0</v>
      </c>
    </row>
  </sheetData>
  <sheetProtection algorithmName="SHA-512" hashValue="1R2EWBKJHQZmXJvyxXd/fruf3nMEzpM5MFLseeK4ZtncJejr2naFHY4kTtBZULvEUx9coOckwqh9nqkyTTISnQ==" saltValue="u7x2K90bsHVmkv+Kmsl7dg==" spinCount="100000" sheet="1" objects="1" scenarios="1"/>
  <mergeCells count="30">
    <mergeCell ref="A1:AP2"/>
    <mergeCell ref="A3:AP3"/>
    <mergeCell ref="A4:B4"/>
    <mergeCell ref="C4:AP4"/>
    <mergeCell ref="A5:A6"/>
    <mergeCell ref="B5:B6"/>
    <mergeCell ref="C5:AN6"/>
    <mergeCell ref="AO5:AP6"/>
    <mergeCell ref="W7:X7"/>
    <mergeCell ref="A7:A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AK7:AL7"/>
    <mergeCell ref="AM7:AN7"/>
    <mergeCell ref="AO7:AO8"/>
    <mergeCell ref="AP7:AP8"/>
    <mergeCell ref="Y7:Z7"/>
    <mergeCell ref="AA7:AB7"/>
    <mergeCell ref="AC7:AD7"/>
    <mergeCell ref="AE7:AF7"/>
    <mergeCell ref="AG7:AH7"/>
    <mergeCell ref="AI7:AJ7"/>
  </mergeCells>
  <dataValidations count="2">
    <dataValidation type="whole" allowBlank="1" showInputMessage="1" showErrorMessage="1" errorTitle="Data Range Error" error="Value should be between 0 and 70" sqref="F34:F48 H34:H48 J34:J48 L34:L48 N34:N48 P34:P48 R34:R48 T34:T48 V34:V48 X34:X48 Z34:Z48 AB34:AB48 AD34:AD48 AF34:AF48 AH34:AH48 AJ34:AJ48 AL34:AL48 AN34:AN48 D34:D48 D9:D30 AH9:AH30" xr:uid="{00000000-0002-0000-0100-000000000000}">
      <formula1>0</formula1>
      <formula2>70</formula2>
    </dataValidation>
    <dataValidation type="whole" allowBlank="1" showInputMessage="1" showErrorMessage="1" errorTitle="Data Range Error" error="Value should be between 0 and 30" sqref="AE34:AE48 AA34:AA48 C34:C48 E34:E48 G34:G48 I34:I48 K34:K48 M34:M48 O34:O48 Q34:Q48 S34:S48 U34:U48 W34:W48 Y34:Y48 AG34:AG48 AI34:AI48 AK34:AK48 AM34:AM48 AC34:AC48 C9:C30 AG9:AG30" xr:uid="{00000000-0002-0000-0100-000001000000}">
      <formula1>0</formula1>
      <formula2>30</formula2>
    </dataValidation>
  </dataValidations>
  <pageMargins left="0.25" right="0.25" top="0.75" bottom="0.75" header="0.3" footer="0.3"/>
  <pageSetup paperSize="9"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64"/>
  <sheetViews>
    <sheetView zoomScaleNormal="100" workbookViewId="0">
      <pane xSplit="2" ySplit="7" topLeftCell="C8" activePane="bottomRight" state="frozen"/>
      <selection activeCell="B9" sqref="B9"/>
      <selection pane="topRight" activeCell="B9" sqref="B9"/>
      <selection pane="bottomLeft" activeCell="B9" sqref="B9"/>
      <selection pane="bottomRight" activeCell="D7" sqref="D7"/>
    </sheetView>
  </sheetViews>
  <sheetFormatPr defaultRowHeight="15" x14ac:dyDescent="0.25"/>
  <cols>
    <col min="1" max="1" width="5.28515625" bestFit="1" customWidth="1"/>
    <col min="2" max="2" width="36.7109375" customWidth="1"/>
    <col min="3" max="3" width="16" bestFit="1" customWidth="1"/>
    <col min="4" max="4" width="9.42578125" style="5" bestFit="1" customWidth="1"/>
    <col min="5" max="5" width="9.85546875" style="5" customWidth="1"/>
    <col min="6" max="6" width="45.140625" bestFit="1" customWidth="1"/>
    <col min="7" max="7" width="69.140625" customWidth="1"/>
    <col min="8" max="11" width="3.85546875" bestFit="1" customWidth="1"/>
  </cols>
  <sheetData>
    <row r="1" spans="1:11" ht="15" customHeight="1" x14ac:dyDescent="0.25">
      <c r="A1" s="78" t="s">
        <v>189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ht="15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1" ht="18" x14ac:dyDescent="0.25">
      <c r="A3" s="98" t="s">
        <v>190</v>
      </c>
      <c r="B3" s="99"/>
      <c r="C3" s="99"/>
      <c r="D3" s="99"/>
      <c r="E3" s="99"/>
      <c r="F3" s="99"/>
      <c r="G3" s="99"/>
      <c r="H3" s="99"/>
      <c r="I3" s="99"/>
      <c r="J3" s="99"/>
      <c r="K3" s="100"/>
    </row>
    <row r="4" spans="1:11" ht="15.75" x14ac:dyDescent="0.25">
      <c r="A4" s="84" t="s">
        <v>43</v>
      </c>
      <c r="B4" s="84"/>
      <c r="C4" s="81" t="s">
        <v>111</v>
      </c>
      <c r="D4" s="81"/>
      <c r="E4" s="81"/>
      <c r="F4" s="81"/>
      <c r="G4" s="81"/>
      <c r="H4" s="81"/>
      <c r="I4" s="81"/>
      <c r="J4" s="81"/>
      <c r="K4" s="81"/>
    </row>
    <row r="5" spans="1:11" ht="30" customHeight="1" x14ac:dyDescent="0.25">
      <c r="A5" s="87"/>
      <c r="B5" s="86" t="s">
        <v>178</v>
      </c>
      <c r="C5" s="27" t="s">
        <v>24</v>
      </c>
      <c r="D5" s="27" t="s">
        <v>58</v>
      </c>
      <c r="E5" s="101" t="s">
        <v>59</v>
      </c>
      <c r="F5" s="101"/>
      <c r="G5" s="104" t="s">
        <v>23</v>
      </c>
      <c r="H5" s="104"/>
      <c r="I5" s="104"/>
      <c r="J5" s="104"/>
      <c r="K5" s="104"/>
    </row>
    <row r="6" spans="1:11" ht="27" customHeight="1" x14ac:dyDescent="0.25">
      <c r="A6" s="87"/>
      <c r="B6" s="86"/>
      <c r="C6" s="24">
        <v>122</v>
      </c>
      <c r="D6" s="24">
        <v>22</v>
      </c>
      <c r="E6" s="102" t="s">
        <v>187</v>
      </c>
      <c r="F6" s="103"/>
      <c r="G6" s="104"/>
      <c r="H6" s="104"/>
      <c r="I6" s="104"/>
      <c r="J6" s="104"/>
      <c r="K6" s="104"/>
    </row>
    <row r="7" spans="1:11" ht="91.5" customHeight="1" x14ac:dyDescent="0.25">
      <c r="A7" s="50" t="s">
        <v>0</v>
      </c>
      <c r="B7" s="25" t="s">
        <v>12</v>
      </c>
      <c r="C7" s="26" t="s">
        <v>25</v>
      </c>
      <c r="D7" s="26" t="s">
        <v>28</v>
      </c>
      <c r="E7" s="26" t="s">
        <v>29</v>
      </c>
      <c r="F7" s="27" t="s">
        <v>26</v>
      </c>
      <c r="G7" s="26" t="s">
        <v>27</v>
      </c>
      <c r="H7" s="28" t="s">
        <v>32</v>
      </c>
      <c r="I7" s="28" t="s">
        <v>33</v>
      </c>
      <c r="J7" s="28" t="s">
        <v>34</v>
      </c>
      <c r="K7" s="28" t="s">
        <v>35</v>
      </c>
    </row>
    <row r="8" spans="1:11" x14ac:dyDescent="0.25">
      <c r="A8" s="3">
        <v>1</v>
      </c>
      <c r="B8" s="33" t="str">
        <f>('1st Term'!B9)</f>
        <v>ADAKARAZA SAMUEL</v>
      </c>
      <c r="C8" s="4">
        <v>96</v>
      </c>
      <c r="D8" s="34">
        <f>(('1st Term'!AP9)+('2nd Term'!AP9))/2</f>
        <v>37.82352941176471</v>
      </c>
      <c r="E8" s="4" t="str">
        <f>RANK(D8,$D$8:$D$29)&amp;IF(OR(RANK(D8,$D$8:$D$29)=11,RANK(D8,$D$8:$D$29)=12,RANK(D8,$D$8:$D$29)=13),"th",CHOOSE(MIN(5,MOD(RANK(D8,$D$8:$D$29),10)+1),"th","st","nd","rd","th"))</f>
        <v>20th</v>
      </c>
      <c r="F8" s="53" t="s">
        <v>66</v>
      </c>
      <c r="G8" s="53" t="s">
        <v>133</v>
      </c>
      <c r="H8" s="39" t="s">
        <v>51</v>
      </c>
      <c r="I8" s="39" t="s">
        <v>51</v>
      </c>
      <c r="J8" s="39" t="s">
        <v>51</v>
      </c>
      <c r="K8" s="39" t="s">
        <v>51</v>
      </c>
    </row>
    <row r="9" spans="1:11" x14ac:dyDescent="0.25">
      <c r="A9" s="3">
        <v>2</v>
      </c>
      <c r="B9" s="33" t="str">
        <f>('1st Term'!B10)</f>
        <v>ADEOLA PEDRO</v>
      </c>
      <c r="C9" s="4">
        <v>107</v>
      </c>
      <c r="D9" s="34">
        <f>(('1st Term'!AP10)+('2nd Term'!AP10))/2</f>
        <v>55.529411764705884</v>
      </c>
      <c r="E9" s="4" t="str">
        <f t="shared" ref="E9:E29" si="0">RANK(D9,$D$8:$D$29)&amp;IF(OR(RANK(D9,$D$8:$D$29)=11,RANK(D9,$D$8:$D$29)=12,RANK(D9,$D$8:$D$29)=13),"th",CHOOSE(MIN(5,MOD(RANK(D9,$D$8:$D$29),10)+1),"th","st","nd","rd","th"))</f>
        <v>9th</v>
      </c>
      <c r="F9" s="53" t="s">
        <v>67</v>
      </c>
      <c r="G9" s="53" t="s">
        <v>87</v>
      </c>
      <c r="H9" s="39" t="s">
        <v>55</v>
      </c>
      <c r="I9" s="39" t="s">
        <v>55</v>
      </c>
      <c r="J9" s="39" t="s">
        <v>55</v>
      </c>
      <c r="K9" s="39" t="s">
        <v>55</v>
      </c>
    </row>
    <row r="10" spans="1:11" x14ac:dyDescent="0.25">
      <c r="A10" s="3">
        <v>3</v>
      </c>
      <c r="B10" s="33" t="str">
        <f>('1st Term'!B11)</f>
        <v>ASAMS DANIELLA</v>
      </c>
      <c r="C10" s="4">
        <v>118</v>
      </c>
      <c r="D10" s="34">
        <f>(('1st Term'!AP11)+('2nd Term'!AP11))/2</f>
        <v>62.617647058823522</v>
      </c>
      <c r="E10" s="4" t="str">
        <f t="shared" si="0"/>
        <v>8th</v>
      </c>
      <c r="F10" s="53" t="s">
        <v>68</v>
      </c>
      <c r="G10" s="53" t="s">
        <v>88</v>
      </c>
      <c r="H10" s="39" t="s">
        <v>52</v>
      </c>
      <c r="I10" s="39" t="s">
        <v>52</v>
      </c>
      <c r="J10" s="39" t="s">
        <v>52</v>
      </c>
      <c r="K10" s="39" t="s">
        <v>52</v>
      </c>
    </row>
    <row r="11" spans="1:11" x14ac:dyDescent="0.25">
      <c r="A11" s="3">
        <v>4</v>
      </c>
      <c r="B11" s="33" t="str">
        <f>('1st Term'!B12)</f>
        <v>ASIBOR NANCY</v>
      </c>
      <c r="C11" s="4">
        <v>116</v>
      </c>
      <c r="D11" s="34">
        <f>(('1st Term'!AP12)+('2nd Term'!AP12))/2</f>
        <v>66.529411764705884</v>
      </c>
      <c r="E11" s="4" t="str">
        <f t="shared" si="0"/>
        <v>6th</v>
      </c>
      <c r="F11" s="53" t="s">
        <v>69</v>
      </c>
      <c r="G11" s="53" t="s">
        <v>89</v>
      </c>
      <c r="H11" s="39" t="s">
        <v>53</v>
      </c>
      <c r="I11" s="39" t="s">
        <v>53</v>
      </c>
      <c r="J11" s="39" t="s">
        <v>53</v>
      </c>
      <c r="K11" s="39" t="s">
        <v>53</v>
      </c>
    </row>
    <row r="12" spans="1:11" x14ac:dyDescent="0.25">
      <c r="A12" s="3">
        <v>5</v>
      </c>
      <c r="B12" s="33" t="str">
        <f>('1st Term'!B13)</f>
        <v>BANKOLE AMEERAT</v>
      </c>
      <c r="C12" s="4">
        <v>112</v>
      </c>
      <c r="D12" s="34">
        <f>(('1st Term'!AP13)+('2nd Term'!AP13))/2</f>
        <v>76.676470588235304</v>
      </c>
      <c r="E12" s="4" t="str">
        <f t="shared" si="0"/>
        <v>1st</v>
      </c>
      <c r="F12" s="53" t="s">
        <v>70</v>
      </c>
      <c r="G12" s="53" t="s">
        <v>90</v>
      </c>
      <c r="H12" s="39" t="s">
        <v>54</v>
      </c>
      <c r="I12" s="39" t="s">
        <v>54</v>
      </c>
      <c r="J12" s="39" t="s">
        <v>54</v>
      </c>
      <c r="K12" s="39" t="s">
        <v>54</v>
      </c>
    </row>
    <row r="13" spans="1:11" x14ac:dyDescent="0.25">
      <c r="A13" s="3">
        <v>6</v>
      </c>
      <c r="B13" s="33" t="str">
        <f>('1st Term'!B14)</f>
        <v>CHIEKEZIE MAXWELL</v>
      </c>
      <c r="C13" s="4">
        <v>120</v>
      </c>
      <c r="D13" s="34">
        <f>(('1st Term'!AP14)+('2nd Term'!AP14))/2</f>
        <v>37</v>
      </c>
      <c r="E13" s="4" t="str">
        <f t="shared" si="0"/>
        <v>21st</v>
      </c>
      <c r="F13" s="53" t="s">
        <v>71</v>
      </c>
      <c r="G13" s="53" t="s">
        <v>91</v>
      </c>
      <c r="H13" s="40"/>
      <c r="I13" s="40"/>
      <c r="J13" s="40"/>
      <c r="K13" s="40"/>
    </row>
    <row r="14" spans="1:11" x14ac:dyDescent="0.25">
      <c r="A14" s="3">
        <v>7</v>
      </c>
      <c r="B14" s="33" t="str">
        <f>('1st Term'!B15)</f>
        <v>MBUOTIDEM MOSES</v>
      </c>
      <c r="C14" s="4">
        <v>110</v>
      </c>
      <c r="D14" s="34">
        <f>(('1st Term'!AP15)+('2nd Term'!AP15))/2</f>
        <v>52.705882352941174</v>
      </c>
      <c r="E14" s="4" t="str">
        <f t="shared" si="0"/>
        <v>11th</v>
      </c>
      <c r="F14" s="53" t="s">
        <v>72</v>
      </c>
      <c r="G14" s="53" t="s">
        <v>109</v>
      </c>
      <c r="H14" s="40"/>
      <c r="I14" s="40"/>
      <c r="J14" s="40"/>
      <c r="K14" s="40"/>
    </row>
    <row r="15" spans="1:11" x14ac:dyDescent="0.25">
      <c r="A15" s="3">
        <v>8</v>
      </c>
      <c r="B15" s="33" t="str">
        <f>('1st Term'!B16)</f>
        <v>ENEJOH PHINEHAS</v>
      </c>
      <c r="C15" s="4">
        <v>116</v>
      </c>
      <c r="D15" s="34">
        <f>(('1st Term'!AP16)+('2nd Term'!AP16))/2</f>
        <v>43.294117647058826</v>
      </c>
      <c r="E15" s="4" t="str">
        <f t="shared" si="0"/>
        <v>16th</v>
      </c>
      <c r="F15" s="53" t="s">
        <v>73</v>
      </c>
      <c r="G15" s="53" t="s">
        <v>92</v>
      </c>
      <c r="H15" s="40"/>
      <c r="I15" s="40"/>
      <c r="J15" s="40"/>
      <c r="K15" s="40"/>
    </row>
    <row r="16" spans="1:11" x14ac:dyDescent="0.25">
      <c r="A16" s="3">
        <v>9</v>
      </c>
      <c r="B16" s="33" t="str">
        <f>('1st Term'!B17)</f>
        <v>EWELUKWA FAVOUR</v>
      </c>
      <c r="C16" s="4">
        <v>118</v>
      </c>
      <c r="D16" s="34">
        <f>(('1st Term'!AP17)+('2nd Term'!AP17))/2</f>
        <v>67.441176470588232</v>
      </c>
      <c r="E16" s="4" t="str">
        <f t="shared" si="0"/>
        <v>5th</v>
      </c>
      <c r="F16" s="53" t="s">
        <v>74</v>
      </c>
      <c r="G16" s="53" t="s">
        <v>93</v>
      </c>
      <c r="H16" s="40"/>
      <c r="I16" s="40"/>
      <c r="J16" s="40"/>
      <c r="K16" s="40"/>
    </row>
    <row r="17" spans="1:11" x14ac:dyDescent="0.25">
      <c r="A17" s="3">
        <v>10</v>
      </c>
      <c r="B17" s="33" t="str">
        <f>('1st Term'!B18)</f>
        <v>HAMMED OLAMIDE</v>
      </c>
      <c r="C17" s="4">
        <v>98</v>
      </c>
      <c r="D17" s="34">
        <f>(('1st Term'!AP18)+('2nd Term'!AP18))/2</f>
        <v>28.705882352941178</v>
      </c>
      <c r="E17" s="4" t="str">
        <f t="shared" si="0"/>
        <v>22nd</v>
      </c>
      <c r="F17" s="53" t="s">
        <v>75</v>
      </c>
      <c r="G17" s="53" t="s">
        <v>94</v>
      </c>
      <c r="H17" s="40"/>
      <c r="I17" s="40"/>
      <c r="J17" s="40"/>
      <c r="K17" s="40"/>
    </row>
    <row r="18" spans="1:11" x14ac:dyDescent="0.25">
      <c r="A18" s="3">
        <v>11</v>
      </c>
      <c r="B18" s="33" t="str">
        <f>('1st Term'!B19)</f>
        <v>HAMZAT AKOREDE</v>
      </c>
      <c r="C18" s="4">
        <v>106</v>
      </c>
      <c r="D18" s="34">
        <f>(('1st Term'!AP19)+('2nd Term'!AP19))/2</f>
        <v>38.058823529411768</v>
      </c>
      <c r="E18" s="4" t="str">
        <f t="shared" si="0"/>
        <v>18th</v>
      </c>
      <c r="F18" s="53" t="s">
        <v>76</v>
      </c>
      <c r="G18" s="53" t="s">
        <v>95</v>
      </c>
      <c r="H18" s="40"/>
      <c r="I18" s="40"/>
      <c r="J18" s="40"/>
      <c r="K18" s="40"/>
    </row>
    <row r="19" spans="1:11" x14ac:dyDescent="0.25">
      <c r="A19" s="3">
        <v>12</v>
      </c>
      <c r="B19" s="33" t="str">
        <f>('1st Term'!B20)</f>
        <v>JAMES DIVINE</v>
      </c>
      <c r="C19" s="4"/>
      <c r="D19" s="34">
        <f>(('1st Term'!AP20)+('2nd Term'!AP20))</f>
        <v>37.882352941176471</v>
      </c>
      <c r="E19" s="4" t="str">
        <f t="shared" si="0"/>
        <v>19th</v>
      </c>
      <c r="F19" s="53" t="s">
        <v>77</v>
      </c>
      <c r="G19" s="53" t="s">
        <v>96</v>
      </c>
      <c r="H19" s="40"/>
      <c r="I19" s="40"/>
      <c r="J19" s="40"/>
      <c r="K19" s="40"/>
    </row>
    <row r="20" spans="1:11" x14ac:dyDescent="0.25">
      <c r="A20" s="3">
        <v>13</v>
      </c>
      <c r="B20" s="33" t="str">
        <f>('1st Term'!B21)</f>
        <v>JOEL JOSHUA</v>
      </c>
      <c r="C20" s="4">
        <v>106</v>
      </c>
      <c r="D20" s="34">
        <f>(('1st Term'!AP21)+('2nd Term'!AP21))/2</f>
        <v>52.470588235294116</v>
      </c>
      <c r="E20" s="4" t="str">
        <f t="shared" si="0"/>
        <v>14th</v>
      </c>
      <c r="F20" s="53" t="s">
        <v>78</v>
      </c>
      <c r="G20" s="53" t="s">
        <v>97</v>
      </c>
      <c r="H20" s="40"/>
      <c r="I20" s="40"/>
      <c r="J20" s="40"/>
      <c r="K20" s="40"/>
    </row>
    <row r="21" spans="1:11" x14ac:dyDescent="0.25">
      <c r="A21" s="3">
        <v>14</v>
      </c>
      <c r="B21" s="33" t="str">
        <f>('1st Term'!B22)</f>
        <v>JOSIAH SUNDAY</v>
      </c>
      <c r="C21" s="4">
        <v>104</v>
      </c>
      <c r="D21" s="34">
        <f>(('1st Term'!AP22)+('2nd Term'!AP22))/2</f>
        <v>52.647058823529413</v>
      </c>
      <c r="E21" s="4" t="str">
        <f t="shared" si="0"/>
        <v>12th</v>
      </c>
      <c r="F21" s="53" t="s">
        <v>79</v>
      </c>
      <c r="G21" s="53" t="s">
        <v>98</v>
      </c>
      <c r="H21" s="40"/>
      <c r="I21" s="40"/>
      <c r="J21" s="40"/>
      <c r="K21" s="40"/>
    </row>
    <row r="22" spans="1:11" x14ac:dyDescent="0.25">
      <c r="A22" s="3">
        <v>15</v>
      </c>
      <c r="B22" s="33" t="str">
        <f>('1st Term'!B23)</f>
        <v>KUFRE GOODNEWS</v>
      </c>
      <c r="C22" s="4">
        <v>110</v>
      </c>
      <c r="D22" s="34">
        <f>(('1st Term'!AP23)+('2nd Term'!AP23))/2</f>
        <v>43.088235294117652</v>
      </c>
      <c r="E22" s="4" t="str">
        <f t="shared" si="0"/>
        <v>17th</v>
      </c>
      <c r="F22" s="53" t="s">
        <v>80</v>
      </c>
      <c r="G22" s="53" t="s">
        <v>99</v>
      </c>
      <c r="H22" s="40"/>
      <c r="I22" s="40"/>
      <c r="J22" s="40"/>
      <c r="K22" s="40"/>
    </row>
    <row r="23" spans="1:11" x14ac:dyDescent="0.25">
      <c r="A23" s="3">
        <v>16</v>
      </c>
      <c r="B23" s="33" t="str">
        <f>('1st Term'!B24)</f>
        <v>NWABUEZE FAVOUR</v>
      </c>
      <c r="C23" s="4">
        <v>120</v>
      </c>
      <c r="D23" s="34">
        <f>(('1st Term'!AP24)+('2nd Term'!AP24))/2</f>
        <v>71.64705882352942</v>
      </c>
      <c r="E23" s="4" t="str">
        <f t="shared" si="0"/>
        <v>3rd</v>
      </c>
      <c r="F23" s="53" t="s">
        <v>81</v>
      </c>
      <c r="G23" s="53" t="s">
        <v>100</v>
      </c>
      <c r="H23" s="40"/>
      <c r="I23" s="40"/>
      <c r="J23" s="40"/>
      <c r="K23" s="40"/>
    </row>
    <row r="24" spans="1:11" x14ac:dyDescent="0.25">
      <c r="A24" s="3">
        <v>17</v>
      </c>
      <c r="B24" s="33" t="str">
        <f>('1st Term'!B25)</f>
        <v>NWABUEZE VICTOR</v>
      </c>
      <c r="C24" s="4">
        <v>106</v>
      </c>
      <c r="D24" s="34">
        <f>(('1st Term'!AP25)+('2nd Term'!AP25))/2</f>
        <v>47.882352941176471</v>
      </c>
      <c r="E24" s="4" t="str">
        <f t="shared" si="0"/>
        <v>15th</v>
      </c>
      <c r="F24" s="53" t="s">
        <v>82</v>
      </c>
      <c r="G24" s="53" t="s">
        <v>101</v>
      </c>
      <c r="H24" s="40"/>
      <c r="I24" s="40"/>
      <c r="J24" s="40"/>
      <c r="K24" s="40"/>
    </row>
    <row r="25" spans="1:11" x14ac:dyDescent="0.25">
      <c r="A25" s="3">
        <v>18</v>
      </c>
      <c r="B25" s="33" t="str">
        <f>('1st Term'!B26)</f>
        <v>ONYINYECHI ANITA</v>
      </c>
      <c r="C25" s="4">
        <v>112</v>
      </c>
      <c r="D25" s="34">
        <f>(('1st Term'!AP26)+('2nd Term'!AP26))/2</f>
        <v>71.029411764705884</v>
      </c>
      <c r="E25" s="4" t="str">
        <f t="shared" si="0"/>
        <v>4th</v>
      </c>
      <c r="F25" s="53" t="s">
        <v>83</v>
      </c>
      <c r="G25" s="53" t="s">
        <v>102</v>
      </c>
      <c r="H25" s="40"/>
      <c r="I25" s="40"/>
      <c r="J25" s="40"/>
      <c r="K25" s="40"/>
    </row>
    <row r="26" spans="1:11" x14ac:dyDescent="0.25">
      <c r="A26" s="3">
        <v>19</v>
      </c>
      <c r="B26" s="33" t="str">
        <f>('1st Term'!B27)</f>
        <v>ORIAKU BRIGHT</v>
      </c>
      <c r="C26" s="4">
        <v>118</v>
      </c>
      <c r="D26" s="34">
        <f>(('1st Term'!AP27)+('2nd Term'!AP27))/2</f>
        <v>52.558823529411768</v>
      </c>
      <c r="E26" s="4" t="str">
        <f t="shared" si="0"/>
        <v>13th</v>
      </c>
      <c r="F26" s="53" t="s">
        <v>84</v>
      </c>
      <c r="G26" s="53" t="s">
        <v>103</v>
      </c>
      <c r="H26" s="40"/>
      <c r="I26" s="40"/>
      <c r="J26" s="40"/>
      <c r="K26" s="40"/>
    </row>
    <row r="27" spans="1:11" x14ac:dyDescent="0.25">
      <c r="A27" s="3">
        <v>20</v>
      </c>
      <c r="B27" s="33" t="str">
        <f>('1st Term'!B28)</f>
        <v>SAKA FAREED</v>
      </c>
      <c r="C27" s="4">
        <v>121</v>
      </c>
      <c r="D27" s="34">
        <f>(('1st Term'!AP28)+('2nd Term'!AP28))/2</f>
        <v>72.117647058823536</v>
      </c>
      <c r="E27" s="4" t="str">
        <f t="shared" si="0"/>
        <v>2nd</v>
      </c>
      <c r="F27" s="53" t="s">
        <v>85</v>
      </c>
      <c r="G27" s="53" t="s">
        <v>104</v>
      </c>
      <c r="H27" s="40"/>
      <c r="I27" s="40"/>
      <c r="J27" s="40"/>
      <c r="K27" s="40"/>
    </row>
    <row r="28" spans="1:11" x14ac:dyDescent="0.25">
      <c r="A28" s="3">
        <v>21</v>
      </c>
      <c r="B28" s="33" t="str">
        <f>('1st Term'!B29)</f>
        <v>VICTOR LOVETH</v>
      </c>
      <c r="C28" s="4">
        <v>116</v>
      </c>
      <c r="D28" s="34">
        <f>(('1st Term'!AP29)+('2nd Term'!AP29))/2</f>
        <v>66.235294117647058</v>
      </c>
      <c r="E28" s="4" t="str">
        <f t="shared" si="0"/>
        <v>7th</v>
      </c>
      <c r="F28" s="53" t="s">
        <v>86</v>
      </c>
      <c r="G28" s="53" t="s">
        <v>105</v>
      </c>
      <c r="H28" s="40"/>
      <c r="I28" s="40"/>
      <c r="J28" s="40"/>
      <c r="K28" s="40"/>
    </row>
    <row r="29" spans="1:11" x14ac:dyDescent="0.25">
      <c r="A29" s="3">
        <v>22</v>
      </c>
      <c r="B29" s="33" t="str">
        <f>('1st Term'!B30)</f>
        <v>WASIU NIMOTALLAH</v>
      </c>
      <c r="C29" s="4">
        <v>122</v>
      </c>
      <c r="D29" s="34">
        <f>(('1st Term'!AP30)+('2nd Term'!AP30))/2</f>
        <v>54.911764705882355</v>
      </c>
      <c r="E29" s="4" t="str">
        <f t="shared" si="0"/>
        <v>10th</v>
      </c>
      <c r="F29" s="40" t="s">
        <v>157</v>
      </c>
      <c r="G29" s="53" t="s">
        <v>106</v>
      </c>
      <c r="H29" s="40"/>
      <c r="I29" s="40"/>
      <c r="J29" s="40"/>
      <c r="K29" s="40"/>
    </row>
    <row r="30" spans="1:11" x14ac:dyDescent="0.25">
      <c r="A30" s="3">
        <v>23</v>
      </c>
      <c r="B30" s="33"/>
      <c r="C30" s="4"/>
      <c r="D30" s="34"/>
      <c r="E30" s="4"/>
      <c r="F30" s="40" t="s">
        <v>158</v>
      </c>
      <c r="G30" s="53" t="s">
        <v>107</v>
      </c>
      <c r="H30" s="40"/>
      <c r="I30" s="40"/>
      <c r="J30" s="40"/>
      <c r="K30" s="40"/>
    </row>
    <row r="31" spans="1:11" x14ac:dyDescent="0.25">
      <c r="A31" s="3">
        <v>24</v>
      </c>
      <c r="B31" s="33"/>
      <c r="C31" s="4"/>
      <c r="D31" s="34"/>
      <c r="E31" s="4"/>
      <c r="F31" s="40" t="s">
        <v>159</v>
      </c>
      <c r="G31" s="53" t="s">
        <v>134</v>
      </c>
      <c r="H31" s="40"/>
      <c r="I31" s="40"/>
      <c r="J31" s="40"/>
      <c r="K31" s="40"/>
    </row>
    <row r="32" spans="1:11" x14ac:dyDescent="0.25">
      <c r="A32" s="3">
        <v>25</v>
      </c>
      <c r="B32" s="33"/>
      <c r="C32" s="4"/>
      <c r="D32" s="34"/>
      <c r="E32" s="4"/>
      <c r="F32" s="40" t="s">
        <v>160</v>
      </c>
      <c r="G32" s="53" t="s">
        <v>135</v>
      </c>
      <c r="H32" s="40"/>
      <c r="I32" s="40"/>
      <c r="J32" s="40"/>
      <c r="K32" s="40"/>
    </row>
    <row r="33" spans="1:11" x14ac:dyDescent="0.25">
      <c r="A33" s="3">
        <v>26</v>
      </c>
      <c r="B33" s="33"/>
      <c r="C33" s="4"/>
      <c r="D33" s="34"/>
      <c r="E33" s="4"/>
      <c r="F33" s="40" t="s">
        <v>161</v>
      </c>
      <c r="G33" s="53" t="s">
        <v>136</v>
      </c>
      <c r="H33" s="40"/>
      <c r="I33" s="40"/>
      <c r="J33" s="40"/>
      <c r="K33" s="40"/>
    </row>
    <row r="34" spans="1:11" x14ac:dyDescent="0.25">
      <c r="A34" s="3">
        <v>27</v>
      </c>
      <c r="B34" s="33"/>
      <c r="C34" s="4"/>
      <c r="D34" s="34"/>
      <c r="E34" s="4"/>
      <c r="F34" s="40" t="s">
        <v>162</v>
      </c>
      <c r="G34" s="53" t="s">
        <v>137</v>
      </c>
      <c r="H34" s="40"/>
      <c r="I34" s="40"/>
      <c r="J34" s="40"/>
      <c r="K34" s="40"/>
    </row>
    <row r="35" spans="1:11" x14ac:dyDescent="0.25">
      <c r="A35" s="3">
        <v>28</v>
      </c>
      <c r="B35" s="33"/>
      <c r="C35" s="4"/>
      <c r="D35" s="34"/>
      <c r="E35" s="4"/>
      <c r="F35" s="40" t="s">
        <v>163</v>
      </c>
      <c r="G35" s="53" t="s">
        <v>138</v>
      </c>
      <c r="H35" s="40"/>
      <c r="I35" s="40"/>
      <c r="J35" s="40"/>
      <c r="K35" s="40"/>
    </row>
    <row r="36" spans="1:11" x14ac:dyDescent="0.25">
      <c r="A36" s="3">
        <v>29</v>
      </c>
      <c r="B36" s="33"/>
      <c r="C36" s="4"/>
      <c r="D36" s="34"/>
      <c r="E36" s="4"/>
      <c r="F36" s="40" t="s">
        <v>164</v>
      </c>
      <c r="G36" s="53" t="s">
        <v>139</v>
      </c>
      <c r="H36" s="40"/>
      <c r="I36" s="40"/>
      <c r="J36" s="40"/>
      <c r="K36" s="40"/>
    </row>
    <row r="37" spans="1:11" x14ac:dyDescent="0.25">
      <c r="A37" s="1">
        <v>30</v>
      </c>
      <c r="B37" s="33"/>
      <c r="C37" s="4"/>
      <c r="D37" s="34"/>
      <c r="E37" s="4"/>
      <c r="F37" s="40" t="s">
        <v>165</v>
      </c>
      <c r="G37" s="53" t="s">
        <v>140</v>
      </c>
      <c r="H37" s="40"/>
      <c r="I37" s="40"/>
      <c r="J37" s="40"/>
      <c r="K37" s="40"/>
    </row>
    <row r="38" spans="1:11" x14ac:dyDescent="0.25">
      <c r="A38" s="1">
        <v>31</v>
      </c>
      <c r="B38" s="33"/>
      <c r="C38" s="4"/>
      <c r="D38" s="34"/>
      <c r="E38" s="4"/>
      <c r="F38" s="40" t="s">
        <v>166</v>
      </c>
      <c r="G38" s="53" t="s">
        <v>141</v>
      </c>
      <c r="H38" s="29"/>
      <c r="I38" s="29"/>
      <c r="J38" s="29"/>
      <c r="K38" s="29"/>
    </row>
    <row r="39" spans="1:11" x14ac:dyDescent="0.25">
      <c r="A39" s="1">
        <v>32</v>
      </c>
      <c r="B39" s="33"/>
      <c r="C39" s="4"/>
      <c r="D39" s="34"/>
      <c r="E39" s="4"/>
      <c r="F39" s="40" t="s">
        <v>167</v>
      </c>
      <c r="G39" s="53" t="s">
        <v>142</v>
      </c>
      <c r="H39" s="29"/>
      <c r="I39" s="29"/>
      <c r="J39" s="29"/>
      <c r="K39" s="29"/>
    </row>
    <row r="40" spans="1:11" x14ac:dyDescent="0.25">
      <c r="A40" s="1">
        <v>33</v>
      </c>
      <c r="B40" s="33"/>
      <c r="C40" s="4"/>
      <c r="D40" s="34"/>
      <c r="E40" s="4"/>
      <c r="F40" s="40" t="s">
        <v>168</v>
      </c>
      <c r="G40" s="53" t="s">
        <v>143</v>
      </c>
      <c r="H40" s="29"/>
      <c r="I40" s="29"/>
      <c r="J40" s="29"/>
      <c r="K40" s="29"/>
    </row>
    <row r="41" spans="1:11" x14ac:dyDescent="0.25">
      <c r="A41" s="1">
        <v>34</v>
      </c>
      <c r="B41" s="33"/>
      <c r="C41" s="4"/>
      <c r="D41" s="34"/>
      <c r="E41" s="4"/>
      <c r="F41" s="40" t="s">
        <v>169</v>
      </c>
      <c r="G41" s="53" t="s">
        <v>144</v>
      </c>
      <c r="H41" s="29"/>
      <c r="I41" s="29"/>
      <c r="J41" s="29"/>
      <c r="K41" s="29"/>
    </row>
    <row r="42" spans="1:11" x14ac:dyDescent="0.25">
      <c r="A42" s="1">
        <v>35</v>
      </c>
      <c r="B42" s="33"/>
      <c r="C42" s="4"/>
      <c r="D42" s="34"/>
      <c r="E42" s="4"/>
      <c r="F42" s="40" t="s">
        <v>170</v>
      </c>
      <c r="G42" s="53" t="s">
        <v>145</v>
      </c>
      <c r="H42" s="29"/>
      <c r="I42" s="29"/>
      <c r="J42" s="29"/>
      <c r="K42" s="29"/>
    </row>
    <row r="43" spans="1:11" x14ac:dyDescent="0.25">
      <c r="A43" s="1">
        <v>36</v>
      </c>
      <c r="B43" s="33"/>
      <c r="C43" s="4"/>
      <c r="D43" s="34"/>
      <c r="E43" s="4"/>
      <c r="F43" s="40" t="s">
        <v>171</v>
      </c>
      <c r="G43" s="53" t="s">
        <v>146</v>
      </c>
      <c r="H43" s="29"/>
      <c r="I43" s="29"/>
      <c r="J43" s="29"/>
      <c r="K43" s="29"/>
    </row>
    <row r="44" spans="1:11" x14ac:dyDescent="0.25">
      <c r="A44" s="1">
        <v>37</v>
      </c>
      <c r="B44" s="33"/>
      <c r="C44" s="4"/>
      <c r="D44" s="34"/>
      <c r="E44" s="4"/>
      <c r="F44" s="40" t="s">
        <v>157</v>
      </c>
      <c r="G44" s="53" t="s">
        <v>147</v>
      </c>
      <c r="H44" s="29"/>
      <c r="I44" s="29"/>
      <c r="J44" s="29"/>
      <c r="K44" s="29"/>
    </row>
    <row r="45" spans="1:11" x14ac:dyDescent="0.25">
      <c r="A45" s="1">
        <v>38</v>
      </c>
      <c r="B45" s="33"/>
      <c r="C45" s="4"/>
      <c r="D45" s="34"/>
      <c r="E45" s="4"/>
      <c r="F45" s="40" t="s">
        <v>158</v>
      </c>
      <c r="G45" s="53" t="s">
        <v>148</v>
      </c>
      <c r="H45" s="29"/>
      <c r="I45" s="29"/>
      <c r="J45" s="29"/>
      <c r="K45" s="29"/>
    </row>
    <row r="46" spans="1:11" x14ac:dyDescent="0.25">
      <c r="A46" s="1">
        <v>39</v>
      </c>
      <c r="B46" s="33"/>
      <c r="C46" s="4"/>
      <c r="D46" s="34"/>
      <c r="E46" s="4"/>
      <c r="F46" s="40" t="s">
        <v>159</v>
      </c>
      <c r="G46" s="53" t="s">
        <v>149</v>
      </c>
      <c r="H46" s="29"/>
      <c r="I46" s="29"/>
      <c r="J46" s="29"/>
      <c r="K46" s="29"/>
    </row>
    <row r="47" spans="1:11" x14ac:dyDescent="0.25">
      <c r="A47" s="1">
        <v>40</v>
      </c>
      <c r="B47" s="33"/>
      <c r="C47" s="4"/>
      <c r="D47" s="34"/>
      <c r="E47" s="4"/>
      <c r="F47" s="40" t="s">
        <v>160</v>
      </c>
      <c r="G47" s="53" t="s">
        <v>150</v>
      </c>
      <c r="H47" s="29"/>
      <c r="I47" s="29"/>
      <c r="J47" s="29"/>
      <c r="K47" s="29"/>
    </row>
    <row r="48" spans="1:11" x14ac:dyDescent="0.25">
      <c r="A48" s="29"/>
      <c r="B48" s="29"/>
      <c r="C48" s="29"/>
      <c r="D48" s="1"/>
      <c r="E48" s="1"/>
      <c r="F48" s="40" t="s">
        <v>161</v>
      </c>
      <c r="G48" s="53" t="s">
        <v>151</v>
      </c>
      <c r="H48" s="29"/>
      <c r="I48" s="29"/>
      <c r="J48" s="29"/>
      <c r="K48" s="29"/>
    </row>
    <row r="49" spans="1:11" x14ac:dyDescent="0.25">
      <c r="A49" s="29"/>
      <c r="B49" s="29"/>
      <c r="C49" s="29"/>
      <c r="D49" s="1"/>
      <c r="E49" s="1"/>
      <c r="F49" s="40" t="s">
        <v>162</v>
      </c>
      <c r="G49" s="53" t="s">
        <v>152</v>
      </c>
      <c r="H49" s="29"/>
      <c r="I49" s="29"/>
      <c r="J49" s="29"/>
      <c r="K49" s="29"/>
    </row>
    <row r="50" spans="1:11" x14ac:dyDescent="0.25">
      <c r="A50" s="29"/>
      <c r="B50" s="29"/>
      <c r="C50" s="29"/>
      <c r="D50" s="1"/>
      <c r="E50" s="1"/>
      <c r="F50" s="40" t="s">
        <v>163</v>
      </c>
      <c r="G50" s="53" t="s">
        <v>153</v>
      </c>
      <c r="H50" s="29"/>
      <c r="I50" s="29"/>
      <c r="J50" s="29"/>
      <c r="K50" s="29"/>
    </row>
    <row r="51" spans="1:11" x14ac:dyDescent="0.25">
      <c r="A51" s="29"/>
      <c r="B51" s="29"/>
      <c r="C51" s="29"/>
      <c r="D51" s="1"/>
      <c r="E51" s="1"/>
      <c r="F51" s="40" t="s">
        <v>164</v>
      </c>
      <c r="G51" s="53" t="s">
        <v>154</v>
      </c>
      <c r="H51" s="29"/>
      <c r="I51" s="29"/>
      <c r="J51" s="29"/>
      <c r="K51" s="29"/>
    </row>
    <row r="52" spans="1:11" x14ac:dyDescent="0.25">
      <c r="A52" s="51"/>
      <c r="B52" s="51"/>
      <c r="C52" s="51"/>
      <c r="D52" s="52"/>
      <c r="E52" s="52"/>
      <c r="F52" s="40" t="s">
        <v>165</v>
      </c>
      <c r="G52" s="53" t="s">
        <v>155</v>
      </c>
      <c r="H52" s="29"/>
      <c r="I52" s="29"/>
      <c r="J52" s="29"/>
      <c r="K52" s="29"/>
    </row>
    <row r="53" spans="1:11" x14ac:dyDescent="0.25">
      <c r="A53" s="29"/>
      <c r="B53" s="29"/>
      <c r="C53" s="29"/>
      <c r="D53" s="1"/>
      <c r="E53" s="1"/>
      <c r="F53" s="40" t="s">
        <v>166</v>
      </c>
      <c r="G53" s="53" t="s">
        <v>156</v>
      </c>
      <c r="H53" s="29"/>
      <c r="I53" s="29"/>
      <c r="J53" s="29"/>
      <c r="K53" s="29"/>
    </row>
    <row r="54" spans="1:11" x14ac:dyDescent="0.25">
      <c r="A54" s="29"/>
      <c r="B54" s="29"/>
      <c r="C54" s="29"/>
      <c r="D54" s="1"/>
      <c r="E54" s="1"/>
      <c r="F54" s="40" t="s">
        <v>167</v>
      </c>
      <c r="G54" s="40"/>
      <c r="H54" s="29"/>
      <c r="I54" s="29"/>
      <c r="J54" s="29"/>
      <c r="K54" s="29"/>
    </row>
    <row r="55" spans="1:11" x14ac:dyDescent="0.25">
      <c r="A55" s="29"/>
      <c r="B55" s="29"/>
      <c r="C55" s="29"/>
      <c r="D55" s="1"/>
      <c r="E55" s="1"/>
      <c r="F55" s="40" t="s">
        <v>168</v>
      </c>
      <c r="G55" s="40"/>
      <c r="H55" s="29"/>
      <c r="I55" s="29"/>
      <c r="J55" s="29"/>
      <c r="K55" s="29"/>
    </row>
    <row r="56" spans="1:11" x14ac:dyDescent="0.25">
      <c r="A56" s="29"/>
      <c r="B56" s="29"/>
      <c r="C56" s="29"/>
      <c r="D56" s="1"/>
      <c r="E56" s="1"/>
      <c r="F56" s="40" t="s">
        <v>169</v>
      </c>
      <c r="G56" s="40"/>
      <c r="H56" s="29"/>
      <c r="I56" s="29"/>
      <c r="J56" s="29"/>
      <c r="K56" s="29"/>
    </row>
    <row r="57" spans="1:11" x14ac:dyDescent="0.25">
      <c r="A57" s="29"/>
      <c r="B57" s="29"/>
      <c r="C57" s="29"/>
      <c r="D57" s="1"/>
      <c r="E57" s="1"/>
      <c r="F57" s="40" t="s">
        <v>170</v>
      </c>
      <c r="G57" s="40"/>
      <c r="H57" s="29"/>
      <c r="I57" s="29"/>
      <c r="J57" s="29"/>
      <c r="K57" s="29"/>
    </row>
    <row r="58" spans="1:11" x14ac:dyDescent="0.25">
      <c r="A58" s="29"/>
      <c r="B58" s="29"/>
      <c r="C58" s="29"/>
      <c r="D58" s="1"/>
      <c r="E58" s="1"/>
      <c r="F58" s="40" t="s">
        <v>171</v>
      </c>
      <c r="G58" s="40"/>
      <c r="H58" s="29"/>
      <c r="I58" s="29"/>
      <c r="J58" s="29"/>
      <c r="K58" s="29"/>
    </row>
    <row r="59" spans="1:11" x14ac:dyDescent="0.25">
      <c r="A59" s="29"/>
      <c r="B59" s="29"/>
      <c r="C59" s="29"/>
      <c r="D59" s="1"/>
      <c r="E59" s="1"/>
      <c r="F59" s="40" t="s">
        <v>172</v>
      </c>
      <c r="G59" s="40"/>
      <c r="H59" s="29"/>
      <c r="I59" s="29"/>
      <c r="J59" s="29"/>
      <c r="K59" s="29"/>
    </row>
    <row r="60" spans="1:11" x14ac:dyDescent="0.25">
      <c r="A60" s="29"/>
      <c r="B60" s="29"/>
      <c r="C60" s="29"/>
      <c r="D60" s="1"/>
      <c r="E60" s="1"/>
      <c r="F60" s="40" t="s">
        <v>173</v>
      </c>
      <c r="G60" s="40"/>
      <c r="H60" s="29"/>
      <c r="I60" s="29"/>
      <c r="J60" s="29"/>
      <c r="K60" s="29"/>
    </row>
    <row r="61" spans="1:11" x14ac:dyDescent="0.25">
      <c r="A61" s="29"/>
      <c r="B61" s="29"/>
      <c r="C61" s="29"/>
      <c r="D61" s="1"/>
      <c r="E61" s="1"/>
      <c r="F61" s="40" t="s">
        <v>174</v>
      </c>
      <c r="G61" s="40"/>
      <c r="H61" s="29"/>
      <c r="I61" s="29"/>
      <c r="J61" s="29"/>
      <c r="K61" s="29"/>
    </row>
    <row r="62" spans="1:11" x14ac:dyDescent="0.25">
      <c r="A62" s="29"/>
      <c r="B62" s="29"/>
      <c r="C62" s="29"/>
      <c r="D62" s="1"/>
      <c r="E62" s="1"/>
      <c r="F62" s="40" t="s">
        <v>175</v>
      </c>
      <c r="G62" s="40"/>
      <c r="H62" s="29"/>
      <c r="I62" s="29"/>
      <c r="J62" s="29"/>
      <c r="K62" s="29"/>
    </row>
    <row r="63" spans="1:11" x14ac:dyDescent="0.25">
      <c r="A63" s="29"/>
      <c r="B63" s="29"/>
      <c r="C63" s="29"/>
      <c r="D63" s="1"/>
      <c r="E63" s="1"/>
      <c r="F63" s="40" t="s">
        <v>176</v>
      </c>
      <c r="G63" s="40"/>
      <c r="H63" s="29"/>
      <c r="I63" s="29"/>
      <c r="J63" s="29"/>
      <c r="K63" s="29"/>
    </row>
    <row r="64" spans="1:11" x14ac:dyDescent="0.25">
      <c r="A64" s="29"/>
      <c r="B64" s="29"/>
      <c r="C64" s="29"/>
      <c r="D64" s="1"/>
      <c r="E64" s="1"/>
      <c r="F64" s="40" t="s">
        <v>177</v>
      </c>
      <c r="G64" s="40"/>
      <c r="H64" s="29"/>
      <c r="I64" s="29"/>
      <c r="J64" s="29"/>
      <c r="K64" s="29"/>
    </row>
  </sheetData>
  <sheetProtection algorithmName="SHA-512" hashValue="Cyjr60e2dHs/ZarHuWvngy6uxrTD4FT8kl7cxMy1Dx5ZBorfjwpcKn+C4fLcbRgXSU1hLNoW6642yQl2pvD+QA==" saltValue="g+j3KcNDJRO7s9mC7Ym6VQ==" spinCount="100000" sheet="1" objects="1" scenarios="1"/>
  <mergeCells count="9">
    <mergeCell ref="A1:K2"/>
    <mergeCell ref="C4:K4"/>
    <mergeCell ref="A3:K3"/>
    <mergeCell ref="A4:B4"/>
    <mergeCell ref="A5:A6"/>
    <mergeCell ref="B5:B6"/>
    <mergeCell ref="E5:F5"/>
    <mergeCell ref="E6:F6"/>
    <mergeCell ref="G5:K6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M51"/>
  <sheetViews>
    <sheetView topLeftCell="A7" workbookViewId="0">
      <selection activeCell="O14" sqref="O14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Term'!B9)</f>
        <v>ADAKARAZA SAMUEL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37.82352941176471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20th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53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52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96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53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28</v>
      </c>
      <c r="I19" s="38">
        <f>SUM(G19:H19)</f>
        <v>56</v>
      </c>
      <c r="J19" s="38">
        <f>(VLOOKUP(C8,'1st Term'!B9:AN48,2,FALSE))+(VLOOKUP(C8,'1st Term'!B9:AN48,3,FALSE))</f>
        <v>56</v>
      </c>
      <c r="K19" s="38">
        <f>SUM(I19:J19)</f>
        <v>112</v>
      </c>
      <c r="L19" s="32">
        <f>K19/2</f>
        <v>56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17</v>
      </c>
      <c r="H20" s="38">
        <f>VLOOKUP(C8,'2nd Term'!B9:AN48,5,FALSE)</f>
        <v>31</v>
      </c>
      <c r="I20" s="38">
        <f t="shared" ref="I20:I37" si="0">SUM(G20:H20)</f>
        <v>48</v>
      </c>
      <c r="J20" s="38">
        <f>(VLOOKUP(C8,'1st Term'!B9:AN48,4,FALSE))+(VLOOKUP(C8,'1st Term'!B9:AN48,5,FALSE))</f>
        <v>56</v>
      </c>
      <c r="K20" s="38">
        <f t="shared" ref="K20:K37" si="1">SUM(I20:J20)</f>
        <v>104</v>
      </c>
      <c r="L20" s="32">
        <f t="shared" ref="L20:L37" si="2">K20/2</f>
        <v>52</v>
      </c>
      <c r="M20" s="38" t="str">
        <f t="shared" ref="M20:M37" si="3">IF(L20&gt;=70,"A",IF(L20&gt;=50,"C",IF(L20&gt;=40,"P","F")))</f>
        <v>C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14</v>
      </c>
      <c r="H21" s="38">
        <f>VLOOKUP(C8,'2nd Term'!B9:AN48,7,FALSE)</f>
        <v>26</v>
      </c>
      <c r="I21" s="38">
        <f t="shared" si="0"/>
        <v>40</v>
      </c>
      <c r="J21" s="38">
        <f>(VLOOKUP(C8,'1st Term'!B9:AN48,6,FALSE))+(VLOOKUP(C8,'1st Term'!B9:AN48,7,FALSE))</f>
        <v>25</v>
      </c>
      <c r="K21" s="38">
        <f t="shared" si="1"/>
        <v>65</v>
      </c>
      <c r="L21" s="32">
        <f t="shared" si="2"/>
        <v>32.5</v>
      </c>
      <c r="M21" s="38" t="str">
        <f t="shared" si="3"/>
        <v>F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15</v>
      </c>
      <c r="H22" s="38">
        <f>VLOOKUP(C8,'2nd Term'!B9:AN48,9,FALSE)</f>
        <v>25</v>
      </c>
      <c r="I22" s="38">
        <f t="shared" si="0"/>
        <v>40</v>
      </c>
      <c r="J22" s="38">
        <f>(VLOOKUP(C8,'1st Term'!B9:AN48,8,FALSE))+(VLOOKUP(C8,'1st Term'!B9:AN48,9,FALSE))</f>
        <v>32</v>
      </c>
      <c r="K22" s="38">
        <f t="shared" si="1"/>
        <v>72</v>
      </c>
      <c r="L22" s="32">
        <f t="shared" si="2"/>
        <v>36</v>
      </c>
      <c r="M22" s="38" t="str">
        <f t="shared" si="3"/>
        <v>F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13</v>
      </c>
      <c r="H23" s="38">
        <f>VLOOKUP(C8,'2nd Term'!B9:AN48,11,FALSE)</f>
        <v>20</v>
      </c>
      <c r="I23" s="38">
        <f t="shared" si="0"/>
        <v>33</v>
      </c>
      <c r="J23" s="38">
        <f>(VLOOKUP(C8,'1st Term'!B9:AN48,10,FALSE))+(VLOOKUP(C8,'1st Term'!B9:AN48,11,FALSE))</f>
        <v>33</v>
      </c>
      <c r="K23" s="38">
        <f t="shared" si="1"/>
        <v>66</v>
      </c>
      <c r="L23" s="32">
        <f t="shared" si="2"/>
        <v>33</v>
      </c>
      <c r="M23" s="38" t="str">
        <f t="shared" si="3"/>
        <v>F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14</v>
      </c>
      <c r="H24" s="38">
        <f>VLOOKUP(C8,'2nd Term'!B9:AN48,13,FALSE)</f>
        <v>16</v>
      </c>
      <c r="I24" s="38">
        <f t="shared" si="0"/>
        <v>30</v>
      </c>
      <c r="J24" s="38">
        <f>(VLOOKUP(C8,'1st Term'!B9:AN48,12,FALSE))+(VLOOKUP(C8,'1st Term'!B9:AN48,13,FALSE))</f>
        <v>27</v>
      </c>
      <c r="K24" s="38">
        <f t="shared" si="1"/>
        <v>57</v>
      </c>
      <c r="L24" s="32">
        <f t="shared" si="2"/>
        <v>28.5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21</v>
      </c>
      <c r="H25" s="38">
        <f>VLOOKUP(C8,'2nd Term'!B9:AN48,15,FALSE)</f>
        <v>27</v>
      </c>
      <c r="I25" s="38">
        <f t="shared" si="0"/>
        <v>48</v>
      </c>
      <c r="J25" s="38">
        <f>(VLOOKUP(C8,'1st Term'!B9:AN48,14,FALSE))+(VLOOKUP(C8,'1st Term'!B9:AN48,15,FALSE))</f>
        <v>51</v>
      </c>
      <c r="K25" s="38">
        <f t="shared" si="1"/>
        <v>99</v>
      </c>
      <c r="L25" s="32">
        <f t="shared" si="2"/>
        <v>49.5</v>
      </c>
      <c r="M25" s="38" t="str">
        <f t="shared" si="3"/>
        <v>P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14</v>
      </c>
      <c r="H26" s="38">
        <f>VLOOKUP(C8,'2nd Term'!B9:AN48,17,FALSE)</f>
        <v>26</v>
      </c>
      <c r="I26" s="38">
        <f t="shared" si="0"/>
        <v>40</v>
      </c>
      <c r="J26" s="38">
        <f>(VLOOKUP(C8,'1st Term'!B9:AN48,16,FALSE))+(VLOOKUP(C8,'1st Term'!B9:AN48,17,FALSE))</f>
        <v>24</v>
      </c>
      <c r="K26" s="38">
        <f t="shared" si="1"/>
        <v>64</v>
      </c>
      <c r="L26" s="32">
        <f t="shared" si="2"/>
        <v>32</v>
      </c>
      <c r="M26" s="38" t="str">
        <f t="shared" si="3"/>
        <v>F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17</v>
      </c>
      <c r="H28" s="38">
        <f>VLOOKUP(C8,'2nd Term'!B9:AN48,21,FALSE)</f>
        <v>41</v>
      </c>
      <c r="I28" s="38">
        <f t="shared" si="0"/>
        <v>58</v>
      </c>
      <c r="J28" s="38">
        <f>(VLOOKUP(C8,'1st Term'!B9:AN48,20,FALSE))+(VLOOKUP(C8,'1st Term'!B9:AN48,21,FALSE))</f>
        <v>23</v>
      </c>
      <c r="K28" s="38">
        <f t="shared" si="1"/>
        <v>81</v>
      </c>
      <c r="L28" s="32">
        <f t="shared" si="2"/>
        <v>40.5</v>
      </c>
      <c r="M28" s="38" t="str">
        <f t="shared" si="3"/>
        <v>P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16</v>
      </c>
      <c r="H29" s="38">
        <f>VLOOKUP(C8,'2nd Term'!B9:AN48,23,FALSE)</f>
        <v>21</v>
      </c>
      <c r="I29" s="38">
        <f t="shared" si="0"/>
        <v>37</v>
      </c>
      <c r="J29" s="38">
        <f>(VLOOKUP(C8,'1st Term'!B9:AN48,22,FALSE))+(VLOOKUP(C8,'1st Term'!B9:AN48,23,FALSE))</f>
        <v>26</v>
      </c>
      <c r="K29" s="38">
        <f t="shared" si="1"/>
        <v>63</v>
      </c>
      <c r="L29" s="32">
        <f t="shared" si="2"/>
        <v>31.5</v>
      </c>
      <c r="M29" s="38" t="str">
        <f t="shared" si="3"/>
        <v>F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17</v>
      </c>
      <c r="H30" s="38">
        <f>VLOOKUP(C8,'2nd Term'!B9:AN48,25,FALSE)</f>
        <v>20</v>
      </c>
      <c r="I30" s="38">
        <f t="shared" si="0"/>
        <v>37</v>
      </c>
      <c r="J30" s="38">
        <f>(VLOOKUP(C8,'1st Term'!B9:AN48,24,FALSE))+(VLOOKUP(C8,'1st Term'!B9:AN48,25,FALSE))</f>
        <v>44</v>
      </c>
      <c r="K30" s="38">
        <f t="shared" si="1"/>
        <v>81</v>
      </c>
      <c r="L30" s="32">
        <f t="shared" si="2"/>
        <v>40.5</v>
      </c>
      <c r="M30" s="38" t="str">
        <f t="shared" si="3"/>
        <v>P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12</v>
      </c>
      <c r="H32" s="38">
        <f>VLOOKUP(C8,'2nd Term'!B9:AN48,29,FALSE)</f>
        <v>13</v>
      </c>
      <c r="I32" s="38">
        <f t="shared" si="0"/>
        <v>25</v>
      </c>
      <c r="J32" s="38">
        <f>(VLOOKUP(C8,'1st Term'!B9:AN48,28,FALSE))+(VLOOKUP(C8,'1st Term'!B9:AN48,29,FALSE))</f>
        <v>28</v>
      </c>
      <c r="K32" s="38">
        <f t="shared" si="1"/>
        <v>53</v>
      </c>
      <c r="L32" s="32">
        <f t="shared" si="2"/>
        <v>26.5</v>
      </c>
      <c r="M32" s="38" t="str">
        <f t="shared" si="3"/>
        <v>F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20</v>
      </c>
      <c r="H33" s="38">
        <f>VLOOKUP(C8,'2nd Term'!B9:AN48,31,FALSE)</f>
        <v>30</v>
      </c>
      <c r="I33" s="38">
        <f t="shared" si="0"/>
        <v>50</v>
      </c>
      <c r="J33" s="38">
        <f>(VLOOKUP(C8,'1st Term'!B9:AN48,30,FALSE))+(VLOOKUP(C8,'1st Term'!B9:AN48,31,FALSE))</f>
        <v>40</v>
      </c>
      <c r="K33" s="38">
        <f t="shared" si="1"/>
        <v>90</v>
      </c>
      <c r="L33" s="32">
        <f t="shared" si="2"/>
        <v>45</v>
      </c>
      <c r="M33" s="38" t="str">
        <f t="shared" si="3"/>
        <v>P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29</v>
      </c>
      <c r="H34" s="38">
        <f>VLOOKUP(C8,'2nd Term'!B9:AN48,33,FALSE)</f>
        <v>10</v>
      </c>
      <c r="I34" s="38">
        <f t="shared" si="0"/>
        <v>39</v>
      </c>
      <c r="J34" s="38">
        <f>(VLOOKUP(C8,'1st Term'!B9:AN48,32,FALSE))+(VLOOKUP(C8,'1st Term'!B9:AN48,33,FALSE))</f>
        <v>39</v>
      </c>
      <c r="K34" s="38">
        <f t="shared" si="1"/>
        <v>78</v>
      </c>
      <c r="L34" s="32">
        <f t="shared" si="2"/>
        <v>39</v>
      </c>
      <c r="M34" s="38" t="str">
        <f t="shared" si="3"/>
        <v>F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12</v>
      </c>
      <c r="H35" s="38">
        <f>VLOOKUP(C8,'2nd Term'!B9:AN48,35,FALSE)</f>
        <v>19</v>
      </c>
      <c r="I35" s="38">
        <f t="shared" si="0"/>
        <v>31</v>
      </c>
      <c r="J35" s="38">
        <f>(VLOOKUP(C8,'1st Term'!B9:AN48,34,FALSE))+(VLOOKUP(C8,'1st Term'!B9:AN48,35,FALSE))</f>
        <v>18</v>
      </c>
      <c r="K35" s="38">
        <f t="shared" si="1"/>
        <v>49</v>
      </c>
      <c r="L35" s="32">
        <f t="shared" si="2"/>
        <v>24.5</v>
      </c>
      <c r="M35" s="38" t="str">
        <f t="shared" si="3"/>
        <v>F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14</v>
      </c>
      <c r="H36" s="38">
        <f>VLOOKUP(C8,'2nd Term'!B9:AN48,37,FALSE)</f>
        <v>25</v>
      </c>
      <c r="I36" s="38">
        <f t="shared" si="0"/>
        <v>39</v>
      </c>
      <c r="J36" s="38">
        <f>(VLOOKUP(C8,'1st Term'!B9:AN48,36,FALSE))+(VLOOKUP(C8,'1st Term'!B9:AN48,37,FALSE))</f>
        <v>31</v>
      </c>
      <c r="K36" s="38">
        <f t="shared" si="1"/>
        <v>70</v>
      </c>
      <c r="L36" s="32">
        <f t="shared" si="2"/>
        <v>35</v>
      </c>
      <c r="M36" s="38" t="str">
        <f t="shared" si="3"/>
        <v>F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17</v>
      </c>
      <c r="H37" s="38">
        <f>VLOOKUP(C8,'2nd Term'!B9:AN48,39,FALSE)</f>
        <v>22</v>
      </c>
      <c r="I37" s="38">
        <f t="shared" si="0"/>
        <v>39</v>
      </c>
      <c r="J37" s="38">
        <f>(VLOOKUP(C8,'1st Term'!B9:AN48,38,FALSE))+(VLOOKUP(C8,'1st Term'!B9:AN48,39,FALSE))</f>
        <v>43</v>
      </c>
      <c r="K37" s="38">
        <f t="shared" si="1"/>
        <v>82</v>
      </c>
      <c r="L37" s="32">
        <f t="shared" si="2"/>
        <v>41</v>
      </c>
      <c r="M37" s="38" t="str">
        <f t="shared" si="3"/>
        <v>P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165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106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2Qu3ETbGcmpqMii+Qh+OsYvVyCZ2MRFmeAlSvjXtAFdCczqzCmXUNoTRkHHQw0Q+KXwdrvVevfhIrvDqPnjcRQ==" saltValue="zLrvy1RUGycYCI9yetZezQ==" spinCount="100000" sheet="1" scenarios="1"/>
  <mergeCells count="15">
    <mergeCell ref="A18:B18"/>
    <mergeCell ref="A48:M48"/>
    <mergeCell ref="I14:I17"/>
    <mergeCell ref="A12:B12"/>
    <mergeCell ref="B1:M2"/>
    <mergeCell ref="B3:M3"/>
    <mergeCell ref="B4:M4"/>
    <mergeCell ref="B5:M6"/>
    <mergeCell ref="A8:B8"/>
    <mergeCell ref="A9:B9"/>
    <mergeCell ref="A10:B10"/>
    <mergeCell ref="A11:B11"/>
    <mergeCell ref="A45:M45"/>
    <mergeCell ref="K7:M12"/>
    <mergeCell ref="G43:M43"/>
  </mergeCells>
  <conditionalFormatting sqref="M19:M37">
    <cfRule type="cellIs" dxfId="87" priority="1" operator="equal">
      <formula>"F"</formula>
    </cfRule>
    <cfRule type="cellIs" dxfId="86" priority="2" operator="equal">
      <formula>"P"</formula>
    </cfRule>
    <cfRule type="cellIs" dxfId="85" priority="3" operator="equal">
      <formula>"C"</formula>
    </cfRule>
    <cfRule type="cellIs" dxfId="84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03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3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M51"/>
  <sheetViews>
    <sheetView workbookViewId="0">
      <selection activeCell="O5" sqref="O5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Term'!B10)</f>
        <v>ADEOLA PEDRO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55.529411764705884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9th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107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51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39</v>
      </c>
      <c r="I19" s="38">
        <f>SUM(G19:H19)</f>
        <v>67</v>
      </c>
      <c r="J19" s="38">
        <f>(VLOOKUP(C8,'1st Term'!B9:AN48,2,FALSE))+(VLOOKUP(C8,'1st Term'!B9:AN48,3,FALSE))</f>
        <v>67</v>
      </c>
      <c r="K19" s="38">
        <f>SUM(I19:J19)</f>
        <v>134</v>
      </c>
      <c r="L19" s="32">
        <f>K19/2</f>
        <v>67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27</v>
      </c>
      <c r="H20" s="38">
        <f>VLOOKUP(C8,'2nd Term'!B9:AN48,5,FALSE)</f>
        <v>50</v>
      </c>
      <c r="I20" s="38">
        <f t="shared" ref="I20:I37" si="0">SUM(G20:H20)</f>
        <v>77</v>
      </c>
      <c r="J20" s="38">
        <f>(VLOOKUP(C8,'1st Term'!B9:AN48,4,FALSE))+(VLOOKUP(C8,'1st Term'!B9:AN48,5,FALSE))</f>
        <v>64</v>
      </c>
      <c r="K20" s="38">
        <f t="shared" ref="K20:K37" si="1">SUM(I20:J20)</f>
        <v>141</v>
      </c>
      <c r="L20" s="32">
        <f t="shared" ref="L20:L37" si="2">K20/2</f>
        <v>70.5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24</v>
      </c>
      <c r="H21" s="38">
        <f>VLOOKUP(C8,'2nd Term'!B9:AN48,7,FALSE)</f>
        <v>30</v>
      </c>
      <c r="I21" s="38">
        <f t="shared" si="0"/>
        <v>54</v>
      </c>
      <c r="J21" s="38">
        <f>(VLOOKUP(C8,'1st Term'!B9:AN48,6,FALSE))+(VLOOKUP(C8,'1st Term'!B9:AN48,7,FALSE))</f>
        <v>42</v>
      </c>
      <c r="K21" s="38">
        <f t="shared" si="1"/>
        <v>96</v>
      </c>
      <c r="L21" s="32">
        <f t="shared" si="2"/>
        <v>48</v>
      </c>
      <c r="M21" s="38" t="str">
        <f t="shared" si="3"/>
        <v>P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17</v>
      </c>
      <c r="H22" s="38">
        <f>VLOOKUP(C8,'2nd Term'!B9:AN48,9,FALSE)</f>
        <v>25</v>
      </c>
      <c r="I22" s="38">
        <f t="shared" si="0"/>
        <v>42</v>
      </c>
      <c r="J22" s="38">
        <f>(VLOOKUP(C8,'1st Term'!B9:AN48,8,FALSE))+(VLOOKUP(C8,'1st Term'!B9:AN48,9,FALSE))</f>
        <v>47</v>
      </c>
      <c r="K22" s="38">
        <f t="shared" si="1"/>
        <v>89</v>
      </c>
      <c r="L22" s="32">
        <f t="shared" si="2"/>
        <v>44.5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20</v>
      </c>
      <c r="H23" s="38">
        <f>VLOOKUP(C8,'2nd Term'!B9:AN48,11,FALSE)</f>
        <v>30</v>
      </c>
      <c r="I23" s="38">
        <f t="shared" si="0"/>
        <v>50</v>
      </c>
      <c r="J23" s="38">
        <f>(VLOOKUP(C8,'1st Term'!B9:AN48,10,FALSE))+(VLOOKUP(C8,'1st Term'!B9:AN48,11,FALSE))</f>
        <v>41</v>
      </c>
      <c r="K23" s="38">
        <f t="shared" si="1"/>
        <v>91</v>
      </c>
      <c r="L23" s="32">
        <f t="shared" si="2"/>
        <v>45.5</v>
      </c>
      <c r="M23" s="38" t="str">
        <f t="shared" si="3"/>
        <v>P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18</v>
      </c>
      <c r="H24" s="38">
        <f>VLOOKUP(C8,'2nd Term'!B9:AN48,13,FALSE)</f>
        <v>33</v>
      </c>
      <c r="I24" s="38">
        <f t="shared" si="0"/>
        <v>51</v>
      </c>
      <c r="J24" s="38">
        <f>(VLOOKUP(C8,'1st Term'!B9:AN48,12,FALSE))+(VLOOKUP(C8,'1st Term'!B9:AN48,13,FALSE))</f>
        <v>34</v>
      </c>
      <c r="K24" s="38">
        <f t="shared" si="1"/>
        <v>85</v>
      </c>
      <c r="L24" s="32">
        <f t="shared" si="2"/>
        <v>42.5</v>
      </c>
      <c r="M24" s="38" t="str">
        <f t="shared" si="3"/>
        <v>P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24</v>
      </c>
      <c r="H25" s="38">
        <f>VLOOKUP(C8,'2nd Term'!B9:AN48,15,FALSE)</f>
        <v>39</v>
      </c>
      <c r="I25" s="38">
        <f t="shared" si="0"/>
        <v>63</v>
      </c>
      <c r="J25" s="38">
        <f>(VLOOKUP(C8,'1st Term'!B9:AN48,14,FALSE))+(VLOOKUP(C8,'1st Term'!B9:AN48,15,FALSE))</f>
        <v>50</v>
      </c>
      <c r="K25" s="38">
        <f t="shared" si="1"/>
        <v>113</v>
      </c>
      <c r="L25" s="32">
        <f t="shared" si="2"/>
        <v>56.5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18</v>
      </c>
      <c r="H26" s="38">
        <f>VLOOKUP(C8,'2nd Term'!B9:AN48,17,FALSE)</f>
        <v>44</v>
      </c>
      <c r="I26" s="38">
        <f t="shared" si="0"/>
        <v>62</v>
      </c>
      <c r="J26" s="38">
        <f>(VLOOKUP(C8,'1st Term'!B9:AN48,16,FALSE))+(VLOOKUP(C8,'1st Term'!B9:AN48,17,FALSE))</f>
        <v>49</v>
      </c>
      <c r="K26" s="38">
        <f t="shared" si="1"/>
        <v>111</v>
      </c>
      <c r="L26" s="32">
        <f t="shared" si="2"/>
        <v>55.5</v>
      </c>
      <c r="M26" s="38" t="str">
        <f t="shared" si="3"/>
        <v>C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16</v>
      </c>
      <c r="H28" s="38">
        <f>VLOOKUP(C8,'2nd Term'!B9:AN48,21,FALSE)</f>
        <v>51</v>
      </c>
      <c r="I28" s="38">
        <f t="shared" si="0"/>
        <v>67</v>
      </c>
      <c r="J28" s="38">
        <f>(VLOOKUP(C8,'1st Term'!B9:AN48,20,FALSE))+(VLOOKUP(C8,'1st Term'!B9:AN48,21,FALSE))</f>
        <v>59</v>
      </c>
      <c r="K28" s="38">
        <f t="shared" si="1"/>
        <v>126</v>
      </c>
      <c r="L28" s="32">
        <f t="shared" si="2"/>
        <v>63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24</v>
      </c>
      <c r="H29" s="38">
        <f>VLOOKUP(C8,'2nd Term'!B9:AN48,23,FALSE)</f>
        <v>50</v>
      </c>
      <c r="I29" s="38">
        <f t="shared" si="0"/>
        <v>74</v>
      </c>
      <c r="J29" s="38">
        <f>(VLOOKUP(C8,'1st Term'!B9:AN48,22,FALSE))+(VLOOKUP(C8,'1st Term'!B9:AN48,23,FALSE))</f>
        <v>64</v>
      </c>
      <c r="K29" s="38">
        <f t="shared" si="1"/>
        <v>138</v>
      </c>
      <c r="L29" s="32">
        <f t="shared" si="2"/>
        <v>69</v>
      </c>
      <c r="M29" s="38" t="str">
        <f t="shared" si="3"/>
        <v>C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21</v>
      </c>
      <c r="H30" s="38">
        <f>VLOOKUP(C8,'2nd Term'!B9:AN48,25,FALSE)</f>
        <v>39</v>
      </c>
      <c r="I30" s="38">
        <f t="shared" si="0"/>
        <v>60</v>
      </c>
      <c r="J30" s="38">
        <f>(VLOOKUP(C8,'1st Term'!B9:AN48,24,FALSE))+(VLOOKUP(C8,'1st Term'!B9:AN48,25,FALSE))</f>
        <v>55</v>
      </c>
      <c r="K30" s="38">
        <f t="shared" si="1"/>
        <v>115</v>
      </c>
      <c r="L30" s="32">
        <f t="shared" si="2"/>
        <v>57.5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22</v>
      </c>
      <c r="H32" s="38">
        <f>VLOOKUP(C8,'2nd Term'!B9:AN48,29,FALSE)</f>
        <v>42</v>
      </c>
      <c r="I32" s="38">
        <f t="shared" si="0"/>
        <v>64</v>
      </c>
      <c r="J32" s="38">
        <f>(VLOOKUP(C8,'1st Term'!B9:AN48,28,FALSE))+(VLOOKUP(C8,'1st Term'!B9:AN48,29,FALSE))</f>
        <v>53</v>
      </c>
      <c r="K32" s="38">
        <f t="shared" si="1"/>
        <v>117</v>
      </c>
      <c r="L32" s="32">
        <f t="shared" si="2"/>
        <v>58.5</v>
      </c>
      <c r="M32" s="38" t="str">
        <f t="shared" si="3"/>
        <v>C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20</v>
      </c>
      <c r="H33" s="38">
        <f>VLOOKUP(C8,'2nd Term'!B9:AN48,31,FALSE)</f>
        <v>45</v>
      </c>
      <c r="I33" s="38">
        <f t="shared" si="0"/>
        <v>65</v>
      </c>
      <c r="J33" s="38">
        <f>(VLOOKUP(C8,'1st Term'!B9:AN48,30,FALSE))+(VLOOKUP(C8,'1st Term'!B9:AN48,31,FALSE))</f>
        <v>40</v>
      </c>
      <c r="K33" s="38">
        <f t="shared" si="1"/>
        <v>105</v>
      </c>
      <c r="L33" s="32">
        <f t="shared" si="2"/>
        <v>52.5</v>
      </c>
      <c r="M33" s="38" t="str">
        <f t="shared" si="3"/>
        <v>C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29</v>
      </c>
      <c r="H34" s="38">
        <f>VLOOKUP(C8,'2nd Term'!B9:AN48,33,FALSE)</f>
        <v>32</v>
      </c>
      <c r="I34" s="38">
        <f t="shared" si="0"/>
        <v>61</v>
      </c>
      <c r="J34" s="38">
        <f>(VLOOKUP(C8,'1st Term'!B9:AN48,32,FALSE))+(VLOOKUP(C8,'1st Term'!B9:AN48,33,FALSE))</f>
        <v>57</v>
      </c>
      <c r="K34" s="38">
        <f t="shared" si="1"/>
        <v>118</v>
      </c>
      <c r="L34" s="32">
        <f t="shared" si="2"/>
        <v>59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27</v>
      </c>
      <c r="H35" s="38">
        <f>VLOOKUP(C8,'2nd Term'!B9:AN48,35,FALSE)</f>
        <v>27</v>
      </c>
      <c r="I35" s="38">
        <f t="shared" si="0"/>
        <v>54</v>
      </c>
      <c r="J35" s="38">
        <f>(VLOOKUP(C8,'1st Term'!B9:AN48,34,FALSE))+(VLOOKUP(C8,'1st Term'!B9:AN48,35,FALSE))</f>
        <v>21</v>
      </c>
      <c r="K35" s="38">
        <f t="shared" si="1"/>
        <v>75</v>
      </c>
      <c r="L35" s="32">
        <f t="shared" si="2"/>
        <v>37.5</v>
      </c>
      <c r="M35" s="38" t="str">
        <f t="shared" si="3"/>
        <v>F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21</v>
      </c>
      <c r="H36" s="38">
        <f>VLOOKUP(C8,'2nd Term'!B9:AN48,37,FALSE)</f>
        <v>34</v>
      </c>
      <c r="I36" s="38">
        <f t="shared" si="0"/>
        <v>55</v>
      </c>
      <c r="J36" s="38">
        <f>(VLOOKUP(C8,'1st Term'!B9:AN48,36,FALSE))+(VLOOKUP(C8,'1st Term'!B9:AN48,37,FALSE))</f>
        <v>36</v>
      </c>
      <c r="K36" s="38">
        <f t="shared" si="1"/>
        <v>91</v>
      </c>
      <c r="L36" s="32">
        <f t="shared" si="2"/>
        <v>45.5</v>
      </c>
      <c r="M36" s="38" t="str">
        <f t="shared" si="3"/>
        <v>P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26</v>
      </c>
      <c r="H37" s="38">
        <f>VLOOKUP(C8,'2nd Term'!B9:AN48,39,FALSE)</f>
        <v>50</v>
      </c>
      <c r="I37" s="38">
        <f t="shared" si="0"/>
        <v>76</v>
      </c>
      <c r="J37" s="38">
        <f>(VLOOKUP(C8,'1st Term'!B9:AN48,38,FALSE))+(VLOOKUP(C8,'1st Term'!B9:AN48,39,FALSE))</f>
        <v>67</v>
      </c>
      <c r="K37" s="38">
        <f t="shared" si="1"/>
        <v>143</v>
      </c>
      <c r="L37" s="32">
        <f t="shared" si="2"/>
        <v>71.5</v>
      </c>
      <c r="M37" s="38" t="str">
        <f t="shared" si="3"/>
        <v>A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169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j3D8vKwv+NgeUkKJDq3DDfMqCBKNVyLBf71freeqFUf8BhHnRdwgGHG4SBExRFJC4MOnXKizahkUPhBpXTd/RQ==" saltValue="DZDGl9NhXEA6MkCb0VfWWg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83" priority="1" operator="equal">
      <formula>"F"</formula>
    </cfRule>
    <cfRule type="cellIs" dxfId="82" priority="2" operator="equal">
      <formula>"P"</formula>
    </cfRule>
    <cfRule type="cellIs" dxfId="81" priority="3" operator="equal">
      <formula>"C"</formula>
    </cfRule>
    <cfRule type="cellIs" dxfId="80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04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4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M51"/>
  <sheetViews>
    <sheetView workbookViewId="0">
      <selection activeCell="N15" sqref="N15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Term'!B11)</f>
        <v>ASAMS DANIELLA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62.617647058823522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8th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118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55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40</v>
      </c>
      <c r="I19" s="38">
        <f>SUM(G19:H19)</f>
        <v>68</v>
      </c>
      <c r="J19" s="38">
        <f>(VLOOKUP(C8,'1st Term'!B9:AN48,2,FALSE))+(VLOOKUP(C8,'1st Term'!B9:AN48,3,FALSE))</f>
        <v>63</v>
      </c>
      <c r="K19" s="38">
        <f>SUM(I19:J19)</f>
        <v>131</v>
      </c>
      <c r="L19" s="32">
        <f>K19/2</f>
        <v>65.5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29</v>
      </c>
      <c r="H20" s="38">
        <f>VLOOKUP(C8,'2nd Term'!B9:AN48,5,FALSE)</f>
        <v>52</v>
      </c>
      <c r="I20" s="38">
        <f t="shared" ref="I20:I37" si="0">SUM(G20:H20)</f>
        <v>81</v>
      </c>
      <c r="J20" s="38">
        <f>(VLOOKUP(C8,'1st Term'!B9:AN48,4,FALSE))+(VLOOKUP(C8,'1st Term'!B9:AN48,5,FALSE))</f>
        <v>80</v>
      </c>
      <c r="K20" s="38">
        <f t="shared" ref="K20:K37" si="1">SUM(I20:J20)</f>
        <v>161</v>
      </c>
      <c r="L20" s="32">
        <f t="shared" ref="L20:L37" si="2">K20/2</f>
        <v>80.5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24</v>
      </c>
      <c r="H21" s="38">
        <f>VLOOKUP(C8,'2nd Term'!B9:AN48,7,FALSE)</f>
        <v>67</v>
      </c>
      <c r="I21" s="38">
        <f t="shared" si="0"/>
        <v>91</v>
      </c>
      <c r="J21" s="38">
        <f>(VLOOKUP(C8,'1st Term'!B9:AN48,6,FALSE))+(VLOOKUP(C8,'1st Term'!B9:AN48,7,FALSE))</f>
        <v>82</v>
      </c>
      <c r="K21" s="38">
        <f t="shared" si="1"/>
        <v>173</v>
      </c>
      <c r="L21" s="32">
        <f t="shared" si="2"/>
        <v>86.5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19</v>
      </c>
      <c r="H22" s="38">
        <f>VLOOKUP(C8,'2nd Term'!B9:AN48,9,FALSE)</f>
        <v>41</v>
      </c>
      <c r="I22" s="38">
        <f t="shared" si="0"/>
        <v>60</v>
      </c>
      <c r="J22" s="38">
        <f>(VLOOKUP(C8,'1st Term'!B9:AN48,8,FALSE))+(VLOOKUP(C8,'1st Term'!B9:AN48,9,FALSE))</f>
        <v>40</v>
      </c>
      <c r="K22" s="38">
        <f t="shared" si="1"/>
        <v>100</v>
      </c>
      <c r="L22" s="32">
        <f t="shared" si="2"/>
        <v>50</v>
      </c>
      <c r="M22" s="38" t="str">
        <f t="shared" si="3"/>
        <v>C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30</v>
      </c>
      <c r="H23" s="38">
        <f>VLOOKUP(C8,'2nd Term'!B9:AN48,11,FALSE)</f>
        <v>40</v>
      </c>
      <c r="I23" s="38">
        <f t="shared" si="0"/>
        <v>70</v>
      </c>
      <c r="J23" s="38">
        <f>(VLOOKUP(C8,'1st Term'!B9:AN48,10,FALSE))+(VLOOKUP(C8,'1st Term'!B9:AN48,11,FALSE))</f>
        <v>40</v>
      </c>
      <c r="K23" s="38">
        <f t="shared" si="1"/>
        <v>110</v>
      </c>
      <c r="L23" s="32">
        <f t="shared" si="2"/>
        <v>55</v>
      </c>
      <c r="M23" s="38" t="str">
        <f t="shared" si="3"/>
        <v>C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20</v>
      </c>
      <c r="H24" s="38">
        <f>VLOOKUP(C8,'2nd Term'!B9:AN48,13,FALSE)</f>
        <v>31</v>
      </c>
      <c r="I24" s="38">
        <f t="shared" si="0"/>
        <v>51</v>
      </c>
      <c r="J24" s="38">
        <f>(VLOOKUP(C8,'1st Term'!B9:AN48,12,FALSE))+(VLOOKUP(C8,'1st Term'!B9:AN48,13,FALSE))</f>
        <v>55</v>
      </c>
      <c r="K24" s="38">
        <f t="shared" si="1"/>
        <v>106</v>
      </c>
      <c r="L24" s="32">
        <f t="shared" si="2"/>
        <v>53</v>
      </c>
      <c r="M24" s="38" t="str">
        <f t="shared" si="3"/>
        <v>C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22</v>
      </c>
      <c r="H25" s="38">
        <f>VLOOKUP(C8,'2nd Term'!B9:AN48,15,FALSE)</f>
        <v>34</v>
      </c>
      <c r="I25" s="38">
        <f t="shared" si="0"/>
        <v>56</v>
      </c>
      <c r="J25" s="38">
        <f>(VLOOKUP(C8,'1st Term'!B9:AN48,14,FALSE))+(VLOOKUP(C8,'1st Term'!B9:AN48,15,FALSE))</f>
        <v>73</v>
      </c>
      <c r="K25" s="38">
        <f t="shared" si="1"/>
        <v>129</v>
      </c>
      <c r="L25" s="32">
        <f t="shared" si="2"/>
        <v>64.5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29</v>
      </c>
      <c r="H26" s="38">
        <f>VLOOKUP(C8,'2nd Term'!B9:AN48,17,FALSE)</f>
        <v>43</v>
      </c>
      <c r="I26" s="38">
        <f t="shared" si="0"/>
        <v>72</v>
      </c>
      <c r="J26" s="38">
        <f>(VLOOKUP(C8,'1st Term'!B9:AN48,16,FALSE))+(VLOOKUP(C8,'1st Term'!B9:AN48,17,FALSE))</f>
        <v>75</v>
      </c>
      <c r="K26" s="38">
        <f t="shared" si="1"/>
        <v>147</v>
      </c>
      <c r="L26" s="32">
        <f t="shared" si="2"/>
        <v>73.5</v>
      </c>
      <c r="M26" s="38" t="str">
        <f t="shared" si="3"/>
        <v>A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21</v>
      </c>
      <c r="H28" s="38">
        <f>VLOOKUP(C8,'2nd Term'!B9:AN48,21,FALSE)</f>
        <v>49</v>
      </c>
      <c r="I28" s="38">
        <f t="shared" si="0"/>
        <v>70</v>
      </c>
      <c r="J28" s="38">
        <f>(VLOOKUP(C8,'1st Term'!B9:AN48,20,FALSE))+(VLOOKUP(C8,'1st Term'!B9:AN48,21,FALSE))</f>
        <v>63</v>
      </c>
      <c r="K28" s="38">
        <f t="shared" si="1"/>
        <v>133</v>
      </c>
      <c r="L28" s="32">
        <f t="shared" si="2"/>
        <v>66.5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28</v>
      </c>
      <c r="H29" s="38">
        <f>VLOOKUP(C8,'2nd Term'!B9:AN48,23,FALSE)</f>
        <v>57</v>
      </c>
      <c r="I29" s="38">
        <f t="shared" si="0"/>
        <v>85</v>
      </c>
      <c r="J29" s="38">
        <f>(VLOOKUP(C8,'1st Term'!B9:AN48,22,FALSE))+(VLOOKUP(C8,'1st Term'!B9:AN48,23,FALSE))</f>
        <v>61</v>
      </c>
      <c r="K29" s="38">
        <f t="shared" si="1"/>
        <v>146</v>
      </c>
      <c r="L29" s="32">
        <f t="shared" si="2"/>
        <v>73</v>
      </c>
      <c r="M29" s="38" t="str">
        <f t="shared" si="3"/>
        <v>A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20</v>
      </c>
      <c r="H30" s="38">
        <f>VLOOKUP(C8,'2nd Term'!B9:AN48,25,FALSE)</f>
        <v>30</v>
      </c>
      <c r="I30" s="38">
        <f t="shared" si="0"/>
        <v>50</v>
      </c>
      <c r="J30" s="38">
        <f>(VLOOKUP(C8,'1st Term'!B9:AN48,24,FALSE))+(VLOOKUP(C8,'1st Term'!B9:AN48,25,FALSE))</f>
        <v>56</v>
      </c>
      <c r="K30" s="38">
        <f t="shared" si="1"/>
        <v>106</v>
      </c>
      <c r="L30" s="32">
        <f t="shared" si="2"/>
        <v>53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16</v>
      </c>
      <c r="H32" s="38">
        <f>VLOOKUP(C8,'2nd Term'!B9:AN48,29,FALSE)</f>
        <v>38</v>
      </c>
      <c r="I32" s="38">
        <f t="shared" si="0"/>
        <v>54</v>
      </c>
      <c r="J32" s="38">
        <f>(VLOOKUP(C8,'1st Term'!B9:AN48,28,FALSE))+(VLOOKUP(C8,'1st Term'!B9:AN48,29,FALSE))</f>
        <v>55</v>
      </c>
      <c r="K32" s="38">
        <f t="shared" si="1"/>
        <v>109</v>
      </c>
      <c r="L32" s="32">
        <f t="shared" si="2"/>
        <v>54.5</v>
      </c>
      <c r="M32" s="38" t="str">
        <f t="shared" si="3"/>
        <v>C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15</v>
      </c>
      <c r="H33" s="38">
        <f>VLOOKUP(C8,'2nd Term'!B9:AN48,31,FALSE)</f>
        <v>31</v>
      </c>
      <c r="I33" s="38">
        <f t="shared" si="0"/>
        <v>46</v>
      </c>
      <c r="J33" s="38">
        <f>(VLOOKUP(C8,'1st Term'!B9:AN48,30,FALSE))+(VLOOKUP(C8,'1st Term'!B9:AN48,31,FALSE))</f>
        <v>50</v>
      </c>
      <c r="K33" s="38">
        <f t="shared" si="1"/>
        <v>96</v>
      </c>
      <c r="L33" s="32">
        <f t="shared" si="2"/>
        <v>48</v>
      </c>
      <c r="M33" s="38" t="str">
        <f t="shared" si="3"/>
        <v>P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26</v>
      </c>
      <c r="H34" s="38">
        <f>VLOOKUP(C8,'2nd Term'!B9:AN48,33,FALSE)</f>
        <v>35</v>
      </c>
      <c r="I34" s="38">
        <f t="shared" si="0"/>
        <v>61</v>
      </c>
      <c r="J34" s="38">
        <f>(VLOOKUP(C8,'1st Term'!B9:AN48,32,FALSE))+(VLOOKUP(C8,'1st Term'!B9:AN48,33,FALSE))</f>
        <v>58</v>
      </c>
      <c r="K34" s="38">
        <f t="shared" si="1"/>
        <v>119</v>
      </c>
      <c r="L34" s="32">
        <f t="shared" si="2"/>
        <v>59.5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22</v>
      </c>
      <c r="H35" s="38">
        <f>VLOOKUP(C8,'2nd Term'!B9:AN48,35,FALSE)</f>
        <v>40</v>
      </c>
      <c r="I35" s="38">
        <f t="shared" si="0"/>
        <v>62</v>
      </c>
      <c r="J35" s="38">
        <f>(VLOOKUP(C8,'1st Term'!B9:AN48,34,FALSE))+(VLOOKUP(C8,'1st Term'!B9:AN48,35,FALSE))</f>
        <v>45</v>
      </c>
      <c r="K35" s="38">
        <f t="shared" si="1"/>
        <v>107</v>
      </c>
      <c r="L35" s="32">
        <f t="shared" si="2"/>
        <v>53.5</v>
      </c>
      <c r="M35" s="38" t="str">
        <f t="shared" si="3"/>
        <v>C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22</v>
      </c>
      <c r="H36" s="38">
        <f>VLOOKUP(C8,'2nd Term'!B9:AN48,37,FALSE)</f>
        <v>50</v>
      </c>
      <c r="I36" s="38">
        <f t="shared" si="0"/>
        <v>72</v>
      </c>
      <c r="J36" s="38">
        <f>(VLOOKUP(C8,'1st Term'!B9:AN48,36,FALSE))+(VLOOKUP(C8,'1st Term'!B9:AN48,37,FALSE))</f>
        <v>51</v>
      </c>
      <c r="K36" s="38">
        <f t="shared" si="1"/>
        <v>123</v>
      </c>
      <c r="L36" s="32">
        <f t="shared" si="2"/>
        <v>61.5</v>
      </c>
      <c r="M36" s="38" t="str">
        <f t="shared" si="3"/>
        <v>C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24</v>
      </c>
      <c r="H37" s="38">
        <f>VLOOKUP(C8,'2nd Term'!B9:AN48,39,FALSE)</f>
        <v>43</v>
      </c>
      <c r="I37" s="38">
        <f t="shared" si="0"/>
        <v>67</v>
      </c>
      <c r="J37" s="38">
        <f>(VLOOKUP(C8,'1st Term'!B9:AN48,38,FALSE))+(VLOOKUP(C8,'1st Term'!B9:AN48,39,FALSE))</f>
        <v>66</v>
      </c>
      <c r="K37" s="38">
        <f t="shared" si="1"/>
        <v>133</v>
      </c>
      <c r="L37" s="32">
        <f t="shared" si="2"/>
        <v>66.5</v>
      </c>
      <c r="M37" s="38" t="str">
        <f t="shared" si="3"/>
        <v>C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101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lECzhNkLJKP9HqIselhH3HkL2DKkAz4pXhAmY3gA4Ife3YKmxttPLttPqw61/uusmWAuVzG23Lv2JAUVmbwZcQ==" saltValue="OTHURc8g/tbWEv++9Lx37Q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79" priority="1" operator="equal">
      <formula>"F"</formula>
    </cfRule>
    <cfRule type="cellIs" dxfId="78" priority="2" operator="equal">
      <formula>"P"</formula>
    </cfRule>
    <cfRule type="cellIs" dxfId="77" priority="3" operator="equal">
      <formula>"C"</formula>
    </cfRule>
    <cfRule type="cellIs" dxfId="76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05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5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M51"/>
  <sheetViews>
    <sheetView workbookViewId="0">
      <selection activeCell="N12" sqref="N12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Term'!B12)</f>
        <v>ASIBOR NANCY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66.529411764705884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6th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116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55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52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55</v>
      </c>
      <c r="I19" s="38">
        <f>SUM(G19:H19)</f>
        <v>83</v>
      </c>
      <c r="J19" s="38">
        <f>(VLOOKUP(C8,'1st Term'!B9:AN48,2,FALSE))+(VLOOKUP(C8,'1st Term'!B9:AN48,3,FALSE))</f>
        <v>78</v>
      </c>
      <c r="K19" s="38">
        <f>SUM(I19:J19)</f>
        <v>161</v>
      </c>
      <c r="L19" s="32">
        <f>K19/2</f>
        <v>80.5</v>
      </c>
      <c r="M19" s="38" t="str">
        <f>IF(L19&gt;=70,"A",IF(L19&gt;=50,"C",IF(L19&gt;=40,"P","F")))</f>
        <v>A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28</v>
      </c>
      <c r="H20" s="38">
        <f>VLOOKUP(C8,'2nd Term'!B9:AN48,5,FALSE)</f>
        <v>65</v>
      </c>
      <c r="I20" s="38">
        <f t="shared" ref="I20:I37" si="0">SUM(G20:H20)</f>
        <v>93</v>
      </c>
      <c r="J20" s="38">
        <f>(VLOOKUP(C8,'1st Term'!B9:AN48,4,FALSE))+(VLOOKUP(C8,'1st Term'!B9:AN48,5,FALSE))</f>
        <v>78</v>
      </c>
      <c r="K20" s="38">
        <f t="shared" ref="K20:K37" si="1">SUM(I20:J20)</f>
        <v>171</v>
      </c>
      <c r="L20" s="32">
        <f t="shared" ref="L20:L37" si="2">K20/2</f>
        <v>85.5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30</v>
      </c>
      <c r="H21" s="38">
        <f>VLOOKUP(C8,'2nd Term'!B9:AN48,7,FALSE)</f>
        <v>57</v>
      </c>
      <c r="I21" s="38">
        <f t="shared" si="0"/>
        <v>87</v>
      </c>
      <c r="J21" s="38">
        <f>(VLOOKUP(C8,'1st Term'!B9:AN48,6,FALSE))+(VLOOKUP(C8,'1st Term'!B9:AN48,7,FALSE))</f>
        <v>50</v>
      </c>
      <c r="K21" s="38">
        <f t="shared" si="1"/>
        <v>137</v>
      </c>
      <c r="L21" s="32">
        <f t="shared" si="2"/>
        <v>68.5</v>
      </c>
      <c r="M21" s="38" t="str">
        <f t="shared" si="3"/>
        <v>C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21</v>
      </c>
      <c r="H22" s="38">
        <f>VLOOKUP(C8,'2nd Term'!B9:AN48,9,FALSE)</f>
        <v>37</v>
      </c>
      <c r="I22" s="38">
        <f t="shared" si="0"/>
        <v>58</v>
      </c>
      <c r="J22" s="38">
        <f>(VLOOKUP(C8,'1st Term'!B9:AN48,8,FALSE))+(VLOOKUP(C8,'1st Term'!B9:AN48,9,FALSE))</f>
        <v>54</v>
      </c>
      <c r="K22" s="38">
        <f t="shared" si="1"/>
        <v>112</v>
      </c>
      <c r="L22" s="32">
        <f t="shared" si="2"/>
        <v>56</v>
      </c>
      <c r="M22" s="38" t="str">
        <f t="shared" si="3"/>
        <v>C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30</v>
      </c>
      <c r="H23" s="38">
        <f>VLOOKUP(C8,'2nd Term'!B9:AN48,11,FALSE)</f>
        <v>44</v>
      </c>
      <c r="I23" s="38">
        <f t="shared" si="0"/>
        <v>74</v>
      </c>
      <c r="J23" s="38">
        <f>(VLOOKUP(C8,'1st Term'!B9:AN48,10,FALSE))+(VLOOKUP(C8,'1st Term'!B9:AN48,11,FALSE))</f>
        <v>67</v>
      </c>
      <c r="K23" s="38">
        <f t="shared" si="1"/>
        <v>141</v>
      </c>
      <c r="L23" s="32">
        <f t="shared" si="2"/>
        <v>70.5</v>
      </c>
      <c r="M23" s="38" t="str">
        <f t="shared" si="3"/>
        <v>A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22</v>
      </c>
      <c r="H24" s="38">
        <f>VLOOKUP(C8,'2nd Term'!B9:AN48,13,FALSE)</f>
        <v>40</v>
      </c>
      <c r="I24" s="38">
        <f t="shared" si="0"/>
        <v>62</v>
      </c>
      <c r="J24" s="38">
        <f>(VLOOKUP(C8,'1st Term'!B9:AN48,12,FALSE))+(VLOOKUP(C8,'1st Term'!B9:AN48,13,FALSE))</f>
        <v>76</v>
      </c>
      <c r="K24" s="38">
        <f t="shared" si="1"/>
        <v>138</v>
      </c>
      <c r="L24" s="32">
        <f t="shared" si="2"/>
        <v>69</v>
      </c>
      <c r="M24" s="38" t="str">
        <f t="shared" si="3"/>
        <v>C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27</v>
      </c>
      <c r="H25" s="38">
        <f>VLOOKUP(C8,'2nd Term'!B9:AN48,15,FALSE)</f>
        <v>34</v>
      </c>
      <c r="I25" s="38">
        <f t="shared" si="0"/>
        <v>61</v>
      </c>
      <c r="J25" s="38">
        <f>(VLOOKUP(C8,'1st Term'!B9:AN48,14,FALSE))+(VLOOKUP(C8,'1st Term'!B9:AN48,15,FALSE))</f>
        <v>59</v>
      </c>
      <c r="K25" s="38">
        <f t="shared" si="1"/>
        <v>120</v>
      </c>
      <c r="L25" s="32">
        <f t="shared" si="2"/>
        <v>60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27</v>
      </c>
      <c r="H26" s="38">
        <f>VLOOKUP(C8,'2nd Term'!B9:AN48,17,FALSE)</f>
        <v>53</v>
      </c>
      <c r="I26" s="38">
        <f t="shared" si="0"/>
        <v>80</v>
      </c>
      <c r="J26" s="38">
        <f>(VLOOKUP(C8,'1st Term'!B9:AN48,16,FALSE))+(VLOOKUP(C8,'1st Term'!B9:AN48,17,FALSE))</f>
        <v>53</v>
      </c>
      <c r="K26" s="38">
        <f t="shared" si="1"/>
        <v>133</v>
      </c>
      <c r="L26" s="32">
        <f t="shared" si="2"/>
        <v>66.5</v>
      </c>
      <c r="M26" s="38" t="str">
        <f t="shared" si="3"/>
        <v>C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23</v>
      </c>
      <c r="H28" s="38">
        <f>VLOOKUP(C8,'2nd Term'!B9:AN48,21,FALSE)</f>
        <v>57</v>
      </c>
      <c r="I28" s="38">
        <f t="shared" si="0"/>
        <v>80</v>
      </c>
      <c r="J28" s="38">
        <f>(VLOOKUP(C8,'1st Term'!B9:AN48,20,FALSE))+(VLOOKUP(C8,'1st Term'!B9:AN48,21,FALSE))</f>
        <v>54</v>
      </c>
      <c r="K28" s="38">
        <f t="shared" si="1"/>
        <v>134</v>
      </c>
      <c r="L28" s="32">
        <f t="shared" si="2"/>
        <v>67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29</v>
      </c>
      <c r="H29" s="38">
        <f>VLOOKUP(C8,'2nd Term'!B9:AN48,23,FALSE)</f>
        <v>44</v>
      </c>
      <c r="I29" s="38">
        <f t="shared" si="0"/>
        <v>73</v>
      </c>
      <c r="J29" s="38">
        <f>(VLOOKUP(C8,'1st Term'!B9:AN48,22,FALSE))+(VLOOKUP(C8,'1st Term'!B9:AN48,23,FALSE))</f>
        <v>62</v>
      </c>
      <c r="K29" s="38">
        <f t="shared" si="1"/>
        <v>135</v>
      </c>
      <c r="L29" s="32">
        <f t="shared" si="2"/>
        <v>67.5</v>
      </c>
      <c r="M29" s="38" t="str">
        <f t="shared" si="3"/>
        <v>C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23</v>
      </c>
      <c r="H30" s="38">
        <f>VLOOKUP(C8,'2nd Term'!B9:AN48,25,FALSE)</f>
        <v>35</v>
      </c>
      <c r="I30" s="38">
        <f t="shared" si="0"/>
        <v>58</v>
      </c>
      <c r="J30" s="38">
        <f>(VLOOKUP(C8,'1st Term'!B9:AN48,24,FALSE))+(VLOOKUP(C8,'1st Term'!B9:AN48,25,FALSE))</f>
        <v>53</v>
      </c>
      <c r="K30" s="38">
        <f t="shared" si="1"/>
        <v>111</v>
      </c>
      <c r="L30" s="32">
        <f t="shared" si="2"/>
        <v>55.5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28</v>
      </c>
      <c r="H32" s="38">
        <f>VLOOKUP(C8,'2nd Term'!B9:AN48,29,FALSE)</f>
        <v>42</v>
      </c>
      <c r="I32" s="38">
        <f t="shared" si="0"/>
        <v>70</v>
      </c>
      <c r="J32" s="38">
        <f>(VLOOKUP(C8,'1st Term'!B9:AN48,28,FALSE))+(VLOOKUP(C8,'1st Term'!B9:AN48,29,FALSE))</f>
        <v>57</v>
      </c>
      <c r="K32" s="38">
        <f t="shared" si="1"/>
        <v>127</v>
      </c>
      <c r="L32" s="32">
        <f t="shared" si="2"/>
        <v>63.5</v>
      </c>
      <c r="M32" s="38" t="str">
        <f t="shared" si="3"/>
        <v>C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15</v>
      </c>
      <c r="H33" s="38">
        <f>VLOOKUP(C8,'2nd Term'!B9:AN48,31,FALSE)</f>
        <v>60</v>
      </c>
      <c r="I33" s="38">
        <f t="shared" si="0"/>
        <v>75</v>
      </c>
      <c r="J33" s="38">
        <f>(VLOOKUP(C8,'1st Term'!B9:AN48,30,FALSE))+(VLOOKUP(C8,'1st Term'!B9:AN48,31,FALSE))</f>
        <v>48</v>
      </c>
      <c r="K33" s="38">
        <f t="shared" si="1"/>
        <v>123</v>
      </c>
      <c r="L33" s="32">
        <f t="shared" si="2"/>
        <v>61.5</v>
      </c>
      <c r="M33" s="38" t="str">
        <f t="shared" si="3"/>
        <v>C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26</v>
      </c>
      <c r="H34" s="38">
        <f>VLOOKUP(C8,'2nd Term'!B9:AN48,33,FALSE)</f>
        <v>45</v>
      </c>
      <c r="I34" s="38">
        <f t="shared" si="0"/>
        <v>71</v>
      </c>
      <c r="J34" s="38">
        <f>(VLOOKUP(C8,'1st Term'!B9:AN48,32,FALSE))+(VLOOKUP(C8,'1st Term'!B9:AN48,33,FALSE))</f>
        <v>66</v>
      </c>
      <c r="K34" s="38">
        <f t="shared" si="1"/>
        <v>137</v>
      </c>
      <c r="L34" s="32">
        <f t="shared" si="2"/>
        <v>68.5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29</v>
      </c>
      <c r="H35" s="38">
        <f>VLOOKUP(C8,'2nd Term'!B9:AN48,35,FALSE)</f>
        <v>47</v>
      </c>
      <c r="I35" s="38">
        <f t="shared" si="0"/>
        <v>76</v>
      </c>
      <c r="J35" s="38">
        <f>(VLOOKUP(C8,'1st Term'!B9:AN48,34,FALSE))+(VLOOKUP(C8,'1st Term'!B9:AN48,35,FALSE))</f>
        <v>44</v>
      </c>
      <c r="K35" s="38">
        <f t="shared" si="1"/>
        <v>120</v>
      </c>
      <c r="L35" s="32">
        <f t="shared" si="2"/>
        <v>60</v>
      </c>
      <c r="M35" s="38" t="str">
        <f t="shared" si="3"/>
        <v>C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22</v>
      </c>
      <c r="H36" s="38">
        <f>VLOOKUP(C8,'2nd Term'!B9:AN48,37,FALSE)</f>
        <v>60</v>
      </c>
      <c r="I36" s="38">
        <f t="shared" si="0"/>
        <v>82</v>
      </c>
      <c r="J36" s="38">
        <f>(VLOOKUP(C8,'1st Term'!B9:AN48,36,FALSE))+(VLOOKUP(C8,'1st Term'!B9:AN48,37,FALSE))</f>
        <v>61</v>
      </c>
      <c r="K36" s="38">
        <f t="shared" si="1"/>
        <v>143</v>
      </c>
      <c r="L36" s="32">
        <f t="shared" si="2"/>
        <v>71.5</v>
      </c>
      <c r="M36" s="38" t="str">
        <f t="shared" si="3"/>
        <v>A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26</v>
      </c>
      <c r="H37" s="38">
        <f>VLOOKUP(C8,'2nd Term'!B9:AN48,39,FALSE)</f>
        <v>48</v>
      </c>
      <c r="I37" s="38">
        <f t="shared" si="0"/>
        <v>74</v>
      </c>
      <c r="J37" s="38">
        <f>(VLOOKUP(C8,'1st Term'!B9:AN48,38,FALSE))+(VLOOKUP(C8,'1st Term'!B9:AN48,39,FALSE))</f>
        <v>45</v>
      </c>
      <c r="K37" s="38">
        <f t="shared" si="1"/>
        <v>119</v>
      </c>
      <c r="L37" s="32">
        <f t="shared" si="2"/>
        <v>59.5</v>
      </c>
      <c r="M37" s="38" t="str">
        <f t="shared" si="3"/>
        <v>C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96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QqikIAYeHGDOZEQ/V1IrlU2XOW+eBVVzIakJC1CDOsOkRDj2ujVsNarv6llY25EeXLsHr/EKt9SbyWIKFxqdnw==" saltValue="rHOyKBYAM5XYWhf9LaF/Mw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75" priority="1" operator="equal">
      <formula>"F"</formula>
    </cfRule>
    <cfRule type="cellIs" dxfId="74" priority="2" operator="equal">
      <formula>"P"</formula>
    </cfRule>
    <cfRule type="cellIs" dxfId="73" priority="3" operator="equal">
      <formula>"C"</formula>
    </cfRule>
    <cfRule type="cellIs" dxfId="72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06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6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M51"/>
  <sheetViews>
    <sheetView tabSelected="1" workbookViewId="0">
      <selection activeCell="N4" sqref="N4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Term'!B13)</f>
        <v>BANKOLE AMEERAT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76.676470588235304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1st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55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112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55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51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30</v>
      </c>
      <c r="H19" s="38">
        <f>VLOOKUP(C8,'2nd Term'!B9:AN48,3,FALSE)</f>
        <v>68</v>
      </c>
      <c r="I19" s="38">
        <f>SUM(G19:H19)</f>
        <v>98</v>
      </c>
      <c r="J19" s="38">
        <f>(VLOOKUP(C8,'1st Term'!B9:AN48,2,FALSE))+(VLOOKUP(C8,'1st Term'!B9:AN48,3,FALSE))</f>
        <v>96</v>
      </c>
      <c r="K19" s="38">
        <f>SUM(I19:J19)</f>
        <v>194</v>
      </c>
      <c r="L19" s="32">
        <f>K19/2</f>
        <v>97</v>
      </c>
      <c r="M19" s="38" t="str">
        <f>IF(L19&gt;=70,"A",IF(L19&gt;=50,"C",IF(L19&gt;=40,"P","F")))</f>
        <v>A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30</v>
      </c>
      <c r="H20" s="38">
        <f>VLOOKUP(C8,'2nd Term'!B9:AN48,5,FALSE)</f>
        <v>65</v>
      </c>
      <c r="I20" s="38">
        <f t="shared" ref="I20:I37" si="0">SUM(G20:H20)</f>
        <v>95</v>
      </c>
      <c r="J20" s="38">
        <f>(VLOOKUP(C8,'1st Term'!B9:AN48,4,FALSE))+(VLOOKUP(C8,'1st Term'!B9:AN48,5,FALSE))</f>
        <v>94</v>
      </c>
      <c r="K20" s="38">
        <f t="shared" ref="K20:K37" si="1">SUM(I20:J20)</f>
        <v>189</v>
      </c>
      <c r="L20" s="32">
        <f t="shared" ref="L20:L37" si="2">K20/2</f>
        <v>94.5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30</v>
      </c>
      <c r="H21" s="38">
        <f>VLOOKUP(C8,'2nd Term'!B9:AN48,7,FALSE)</f>
        <v>67</v>
      </c>
      <c r="I21" s="38">
        <f t="shared" si="0"/>
        <v>97</v>
      </c>
      <c r="J21" s="38">
        <f>(VLOOKUP(C8,'1st Term'!B9:AN48,6,FALSE))+(VLOOKUP(C8,'1st Term'!B9:AN48,7,FALSE))</f>
        <v>74</v>
      </c>
      <c r="K21" s="38">
        <f t="shared" si="1"/>
        <v>171</v>
      </c>
      <c r="L21" s="32">
        <f t="shared" si="2"/>
        <v>85.5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19</v>
      </c>
      <c r="H22" s="38">
        <f>VLOOKUP(C8,'2nd Term'!B9:AN48,9,FALSE)</f>
        <v>35</v>
      </c>
      <c r="I22" s="38">
        <f t="shared" si="0"/>
        <v>54</v>
      </c>
      <c r="J22" s="38">
        <f>(VLOOKUP(C8,'1st Term'!B9:AN48,8,FALSE))+(VLOOKUP(C8,'1st Term'!B9:AN48,9,FALSE))</f>
        <v>36</v>
      </c>
      <c r="K22" s="38">
        <f t="shared" si="1"/>
        <v>90</v>
      </c>
      <c r="L22" s="32">
        <f t="shared" si="2"/>
        <v>45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30</v>
      </c>
      <c r="H23" s="38">
        <f>VLOOKUP(C8,'2nd Term'!B9:AN48,11,FALSE)</f>
        <v>63</v>
      </c>
      <c r="I23" s="38">
        <f t="shared" si="0"/>
        <v>93</v>
      </c>
      <c r="J23" s="38">
        <f>(VLOOKUP(C8,'1st Term'!B9:AN48,10,FALSE))+(VLOOKUP(C8,'1st Term'!B9:AN48,11,FALSE))</f>
        <v>55</v>
      </c>
      <c r="K23" s="38">
        <f t="shared" si="1"/>
        <v>148</v>
      </c>
      <c r="L23" s="32">
        <f t="shared" si="2"/>
        <v>74</v>
      </c>
      <c r="M23" s="38" t="str">
        <f t="shared" si="3"/>
        <v>A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18</v>
      </c>
      <c r="H24" s="38">
        <f>VLOOKUP(C8,'2nd Term'!B9:AN48,13,FALSE)</f>
        <v>35</v>
      </c>
      <c r="I24" s="38">
        <f t="shared" si="0"/>
        <v>53</v>
      </c>
      <c r="J24" s="38">
        <f>(VLOOKUP(C8,'1st Term'!B9:AN48,12,FALSE))+(VLOOKUP(C8,'1st Term'!B9:AN48,13,FALSE))</f>
        <v>55</v>
      </c>
      <c r="K24" s="38">
        <f t="shared" si="1"/>
        <v>108</v>
      </c>
      <c r="L24" s="32">
        <f t="shared" si="2"/>
        <v>54</v>
      </c>
      <c r="M24" s="38" t="str">
        <f t="shared" si="3"/>
        <v>C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26</v>
      </c>
      <c r="H25" s="38">
        <f>VLOOKUP(C8,'2nd Term'!B9:AN48,15,FALSE)</f>
        <v>41</v>
      </c>
      <c r="I25" s="38">
        <f t="shared" si="0"/>
        <v>67</v>
      </c>
      <c r="J25" s="38">
        <f>(VLOOKUP(C8,'1st Term'!B9:AN48,14,FALSE))+(VLOOKUP(C8,'1st Term'!B9:AN48,15,FALSE))</f>
        <v>79</v>
      </c>
      <c r="K25" s="38">
        <f t="shared" si="1"/>
        <v>146</v>
      </c>
      <c r="L25" s="32">
        <f t="shared" si="2"/>
        <v>73</v>
      </c>
      <c r="M25" s="38" t="str">
        <f t="shared" si="3"/>
        <v>A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29</v>
      </c>
      <c r="H26" s="38">
        <f>VLOOKUP(C8,'2nd Term'!B9:AN48,17,FALSE)</f>
        <v>57</v>
      </c>
      <c r="I26" s="38">
        <f t="shared" si="0"/>
        <v>86</v>
      </c>
      <c r="J26" s="38">
        <f>(VLOOKUP(C8,'1st Term'!B9:AN48,16,FALSE))+(VLOOKUP(C8,'1st Term'!B9:AN48,17,FALSE))</f>
        <v>65</v>
      </c>
      <c r="K26" s="38">
        <f t="shared" si="1"/>
        <v>151</v>
      </c>
      <c r="L26" s="32">
        <f t="shared" si="2"/>
        <v>75.5</v>
      </c>
      <c r="M26" s="38" t="str">
        <f t="shared" si="3"/>
        <v>A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24</v>
      </c>
      <c r="H28" s="38">
        <f>VLOOKUP(C8,'2nd Term'!B9:AN48,21,FALSE)</f>
        <v>61</v>
      </c>
      <c r="I28" s="38">
        <f t="shared" si="0"/>
        <v>85</v>
      </c>
      <c r="J28" s="38">
        <f>(VLOOKUP(C8,'1st Term'!B9:AN48,20,FALSE))+(VLOOKUP(C8,'1st Term'!B9:AN48,21,FALSE))</f>
        <v>78</v>
      </c>
      <c r="K28" s="38">
        <f t="shared" si="1"/>
        <v>163</v>
      </c>
      <c r="L28" s="32">
        <f t="shared" si="2"/>
        <v>81.5</v>
      </c>
      <c r="M28" s="38" t="str">
        <f t="shared" si="3"/>
        <v>A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29</v>
      </c>
      <c r="H29" s="38">
        <f>VLOOKUP(C8,'2nd Term'!B9:AN48,23,FALSE)</f>
        <v>61</v>
      </c>
      <c r="I29" s="38">
        <f t="shared" si="0"/>
        <v>90</v>
      </c>
      <c r="J29" s="38">
        <f>(VLOOKUP(C8,'1st Term'!B9:AN48,22,FALSE))+(VLOOKUP(C8,'1st Term'!B9:AN48,23,FALSE))</f>
        <v>86</v>
      </c>
      <c r="K29" s="38">
        <f t="shared" si="1"/>
        <v>176</v>
      </c>
      <c r="L29" s="32">
        <f t="shared" si="2"/>
        <v>88</v>
      </c>
      <c r="M29" s="38" t="str">
        <f t="shared" si="3"/>
        <v>A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25</v>
      </c>
      <c r="H30" s="38">
        <f>VLOOKUP(C8,'2nd Term'!B9:AN48,25,FALSE)</f>
        <v>55</v>
      </c>
      <c r="I30" s="38">
        <f t="shared" si="0"/>
        <v>80</v>
      </c>
      <c r="J30" s="38">
        <f>(VLOOKUP(C8,'1st Term'!B9:AN48,24,FALSE))+(VLOOKUP(C8,'1st Term'!B9:AN48,25,FALSE))</f>
        <v>80</v>
      </c>
      <c r="K30" s="38">
        <f t="shared" si="1"/>
        <v>160</v>
      </c>
      <c r="L30" s="32">
        <f t="shared" si="2"/>
        <v>80</v>
      </c>
      <c r="M30" s="38" t="str">
        <f t="shared" si="3"/>
        <v>A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30</v>
      </c>
      <c r="H32" s="38">
        <f>VLOOKUP(C8,'2nd Term'!B9:AN48,29,FALSE)</f>
        <v>51</v>
      </c>
      <c r="I32" s="38">
        <f t="shared" si="0"/>
        <v>81</v>
      </c>
      <c r="J32" s="38">
        <f>(VLOOKUP(C8,'1st Term'!B9:AN48,28,FALSE))+(VLOOKUP(C8,'1st Term'!B9:AN48,29,FALSE))</f>
        <v>63</v>
      </c>
      <c r="K32" s="38">
        <f t="shared" si="1"/>
        <v>144</v>
      </c>
      <c r="L32" s="32">
        <f t="shared" si="2"/>
        <v>72</v>
      </c>
      <c r="M32" s="38" t="str">
        <f t="shared" si="3"/>
        <v>A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30</v>
      </c>
      <c r="H33" s="38">
        <f>VLOOKUP(C8,'2nd Term'!B9:AN48,31,FALSE)</f>
        <v>65</v>
      </c>
      <c r="I33" s="38">
        <f t="shared" si="0"/>
        <v>95</v>
      </c>
      <c r="J33" s="38">
        <f>(VLOOKUP(C8,'1st Term'!B9:AN48,30,FALSE))+(VLOOKUP(C8,'1st Term'!B9:AN48,31,FALSE))</f>
        <v>65</v>
      </c>
      <c r="K33" s="38">
        <f t="shared" si="1"/>
        <v>160</v>
      </c>
      <c r="L33" s="32">
        <f t="shared" si="2"/>
        <v>80</v>
      </c>
      <c r="M33" s="38" t="str">
        <f t="shared" si="3"/>
        <v>A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26</v>
      </c>
      <c r="H34" s="38">
        <f>VLOOKUP(C8,'2nd Term'!B9:AN48,33,FALSE)</f>
        <v>50</v>
      </c>
      <c r="I34" s="38">
        <f t="shared" si="0"/>
        <v>76</v>
      </c>
      <c r="J34" s="38">
        <f>(VLOOKUP(C8,'1st Term'!B9:AN48,32,FALSE))+(VLOOKUP(C8,'1st Term'!B9:AN48,33,FALSE))</f>
        <v>63</v>
      </c>
      <c r="K34" s="38">
        <f t="shared" si="1"/>
        <v>139</v>
      </c>
      <c r="L34" s="32">
        <f t="shared" si="2"/>
        <v>69.5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22</v>
      </c>
      <c r="H35" s="38">
        <f>VLOOKUP(C8,'2nd Term'!B9:AN48,35,FALSE)</f>
        <v>52</v>
      </c>
      <c r="I35" s="38">
        <f t="shared" si="0"/>
        <v>74</v>
      </c>
      <c r="J35" s="38">
        <f>(VLOOKUP(C8,'1st Term'!B9:AN48,34,FALSE))+(VLOOKUP(C8,'1st Term'!B9:AN48,35,FALSE))</f>
        <v>54</v>
      </c>
      <c r="K35" s="38">
        <f t="shared" si="1"/>
        <v>128</v>
      </c>
      <c r="L35" s="32">
        <f t="shared" si="2"/>
        <v>64</v>
      </c>
      <c r="M35" s="38" t="str">
        <f t="shared" si="3"/>
        <v>C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27</v>
      </c>
      <c r="H36" s="38">
        <f>VLOOKUP(C8,'2nd Term'!B9:AN48,37,FALSE)</f>
        <v>53</v>
      </c>
      <c r="I36" s="38">
        <f t="shared" si="0"/>
        <v>80</v>
      </c>
      <c r="J36" s="38">
        <f>(VLOOKUP(C8,'1st Term'!B9:AN48,36,FALSE))+(VLOOKUP(C8,'1st Term'!B9:AN48,37,FALSE))</f>
        <v>75</v>
      </c>
      <c r="K36" s="38">
        <f t="shared" si="1"/>
        <v>155</v>
      </c>
      <c r="L36" s="32">
        <f t="shared" si="2"/>
        <v>77.5</v>
      </c>
      <c r="M36" s="38" t="str">
        <f t="shared" si="3"/>
        <v>A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26</v>
      </c>
      <c r="H37" s="38">
        <f>VLOOKUP(C8,'2nd Term'!B9:AN48,39,FALSE)</f>
        <v>68</v>
      </c>
      <c r="I37" s="38">
        <f t="shared" si="0"/>
        <v>94</v>
      </c>
      <c r="J37" s="38">
        <f>(VLOOKUP(C8,'1st Term'!B9:AN48,38,FALSE))+(VLOOKUP(C8,'1st Term'!B9:AN48,39,FALSE))</f>
        <v>91</v>
      </c>
      <c r="K37" s="38">
        <f t="shared" si="1"/>
        <v>185</v>
      </c>
      <c r="L37" s="32">
        <f t="shared" si="2"/>
        <v>92.5</v>
      </c>
      <c r="M37" s="38" t="str">
        <f t="shared" si="3"/>
        <v>A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103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Gr6uUROPRqEKeugRoksnfYPbiRzh8PzIexd66miycrierJfULoeLefZhIoyfi1E8Z5J9TVPAjoIX/UTSDZcvhg==" saltValue="PcQ1D/GS5N6cmmBUF40Pyw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71" priority="1" operator="equal">
      <formula>"F"</formula>
    </cfRule>
    <cfRule type="cellIs" dxfId="70" priority="2" operator="equal">
      <formula>"P"</formula>
    </cfRule>
    <cfRule type="cellIs" dxfId="69" priority="3" operator="equal">
      <formula>"C"</formula>
    </cfRule>
    <cfRule type="cellIs" dxfId="68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07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7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M51"/>
  <sheetViews>
    <sheetView workbookViewId="0">
      <selection activeCell="A10" sqref="A10:B10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Term'!B14)</f>
        <v>CHIEKEZIE MAXWELL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37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21st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52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120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18</v>
      </c>
      <c r="I19" s="38">
        <f>SUM(G19:H19)</f>
        <v>46</v>
      </c>
      <c r="J19" s="38">
        <f>(VLOOKUP(C8,'1st Term'!B9:AN48,2,FALSE))+(VLOOKUP(C8,'1st Term'!B9:AN48,3,FALSE))</f>
        <v>46</v>
      </c>
      <c r="K19" s="38">
        <f>SUM(I19:J19)</f>
        <v>92</v>
      </c>
      <c r="L19" s="32">
        <f>K19/2</f>
        <v>46</v>
      </c>
      <c r="M19" s="38" t="str">
        <f>IF(L19&gt;=70,"A",IF(L19&gt;=50,"C",IF(L19&gt;=40,"P","F")))</f>
        <v>P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15</v>
      </c>
      <c r="H20" s="38">
        <f>VLOOKUP(C8,'2nd Term'!B9:AN48,5,FALSE)</f>
        <v>22</v>
      </c>
      <c r="I20" s="38">
        <f t="shared" ref="I20:I37" si="0">SUM(G20:H20)</f>
        <v>37</v>
      </c>
      <c r="J20" s="38">
        <f>(VLOOKUP(C8,'1st Term'!B9:AN48,4,FALSE))+(VLOOKUP(C8,'1st Term'!B9:AN48,5,FALSE))</f>
        <v>43</v>
      </c>
      <c r="K20" s="38">
        <f t="shared" ref="K20:K37" si="1">SUM(I20:J20)</f>
        <v>80</v>
      </c>
      <c r="L20" s="32">
        <f t="shared" ref="L20:L37" si="2">K20/2</f>
        <v>40</v>
      </c>
      <c r="M20" s="38" t="str">
        <f t="shared" ref="M20:M37" si="3">IF(L20&gt;=70,"A",IF(L20&gt;=50,"C",IF(L20&gt;=40,"P","F")))</f>
        <v>P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18</v>
      </c>
      <c r="H21" s="38">
        <f>VLOOKUP(C8,'2nd Term'!B9:AN48,7,FALSE)</f>
        <v>27</v>
      </c>
      <c r="I21" s="38">
        <f t="shared" si="0"/>
        <v>45</v>
      </c>
      <c r="J21" s="38">
        <f>(VLOOKUP(C8,'1st Term'!B9:AN48,6,FALSE))+(VLOOKUP(C8,'1st Term'!B9:AN48,7,FALSE))</f>
        <v>25</v>
      </c>
      <c r="K21" s="38">
        <f t="shared" si="1"/>
        <v>70</v>
      </c>
      <c r="L21" s="32">
        <f t="shared" si="2"/>
        <v>35</v>
      </c>
      <c r="M21" s="38" t="str">
        <f t="shared" si="3"/>
        <v>F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15</v>
      </c>
      <c r="H22" s="38">
        <f>VLOOKUP(C8,'2nd Term'!B9:AN48,9,FALSE)</f>
        <v>20</v>
      </c>
      <c r="I22" s="38">
        <f t="shared" si="0"/>
        <v>35</v>
      </c>
      <c r="J22" s="38">
        <f>(VLOOKUP(C8,'1st Term'!B9:AN48,8,FALSE))+(VLOOKUP(C8,'1st Term'!B9:AN48,9,FALSE))</f>
        <v>48</v>
      </c>
      <c r="K22" s="38">
        <f t="shared" si="1"/>
        <v>83</v>
      </c>
      <c r="L22" s="32">
        <f t="shared" si="2"/>
        <v>41.5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24</v>
      </c>
      <c r="H23" s="38">
        <f>VLOOKUP(C8,'2nd Term'!B9:AN48,11,FALSE)</f>
        <v>28</v>
      </c>
      <c r="I23" s="38">
        <f t="shared" si="0"/>
        <v>52</v>
      </c>
      <c r="J23" s="38">
        <f>(VLOOKUP(C8,'1st Term'!B9:AN48,10,FALSE))+(VLOOKUP(C8,'1st Term'!B9:AN48,11,FALSE))</f>
        <v>40</v>
      </c>
      <c r="K23" s="38">
        <f t="shared" si="1"/>
        <v>92</v>
      </c>
      <c r="L23" s="32">
        <f t="shared" si="2"/>
        <v>46</v>
      </c>
      <c r="M23" s="38" t="str">
        <f t="shared" si="3"/>
        <v>P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15</v>
      </c>
      <c r="H24" s="38">
        <f>VLOOKUP(C8,'2nd Term'!B9:AN48,13,FALSE)</f>
        <v>17</v>
      </c>
      <c r="I24" s="38">
        <f t="shared" si="0"/>
        <v>32</v>
      </c>
      <c r="J24" s="38">
        <f>(VLOOKUP(C8,'1st Term'!B9:AN48,12,FALSE))+(VLOOKUP(C8,'1st Term'!B9:AN48,13,FALSE))</f>
        <v>36</v>
      </c>
      <c r="K24" s="38">
        <f t="shared" si="1"/>
        <v>68</v>
      </c>
      <c r="L24" s="32">
        <f t="shared" si="2"/>
        <v>34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19</v>
      </c>
      <c r="H25" s="38">
        <f>VLOOKUP(C8,'2nd Term'!B9:AN48,15,FALSE)</f>
        <v>22</v>
      </c>
      <c r="I25" s="38">
        <f t="shared" si="0"/>
        <v>41</v>
      </c>
      <c r="J25" s="38">
        <f>(VLOOKUP(C8,'1st Term'!B9:AN48,14,FALSE))+(VLOOKUP(C8,'1st Term'!B9:AN48,15,FALSE))</f>
        <v>30</v>
      </c>
      <c r="K25" s="38">
        <f t="shared" si="1"/>
        <v>71</v>
      </c>
      <c r="L25" s="32">
        <f t="shared" si="2"/>
        <v>35.5</v>
      </c>
      <c r="M25" s="38" t="str">
        <f t="shared" si="3"/>
        <v>F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16</v>
      </c>
      <c r="H26" s="38">
        <f>VLOOKUP(C8,'2nd Term'!B9:AN48,17,FALSE)</f>
        <v>21</v>
      </c>
      <c r="I26" s="38">
        <f t="shared" si="0"/>
        <v>37</v>
      </c>
      <c r="J26" s="38">
        <f>(VLOOKUP(C8,'1st Term'!B9:AN48,16,FALSE))+(VLOOKUP(C8,'1st Term'!B9:AN48,17,FALSE))</f>
        <v>32</v>
      </c>
      <c r="K26" s="38">
        <f t="shared" si="1"/>
        <v>69</v>
      </c>
      <c r="L26" s="32">
        <f t="shared" si="2"/>
        <v>34.5</v>
      </c>
      <c r="M26" s="38" t="str">
        <f t="shared" si="3"/>
        <v>F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13</v>
      </c>
      <c r="H28" s="38">
        <f>VLOOKUP(C8,'2nd Term'!B9:AN48,21,FALSE)</f>
        <v>25</v>
      </c>
      <c r="I28" s="38">
        <f t="shared" si="0"/>
        <v>38</v>
      </c>
      <c r="J28" s="38">
        <f>(VLOOKUP(C8,'1st Term'!B9:AN48,20,FALSE))+(VLOOKUP(C8,'1st Term'!B9:AN48,21,FALSE))</f>
        <v>19</v>
      </c>
      <c r="K28" s="38">
        <f t="shared" si="1"/>
        <v>57</v>
      </c>
      <c r="L28" s="32">
        <f t="shared" si="2"/>
        <v>28.5</v>
      </c>
      <c r="M28" s="38" t="str">
        <f t="shared" si="3"/>
        <v>F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21</v>
      </c>
      <c r="H29" s="38">
        <f>VLOOKUP(C8,'2nd Term'!B9:AN48,23,FALSE)</f>
        <v>32</v>
      </c>
      <c r="I29" s="38">
        <f t="shared" si="0"/>
        <v>53</v>
      </c>
      <c r="J29" s="38">
        <f>(VLOOKUP(C8,'1st Term'!B9:AN48,22,FALSE))+(VLOOKUP(C8,'1st Term'!B9:AN48,23,FALSE))</f>
        <v>41</v>
      </c>
      <c r="K29" s="38">
        <f t="shared" si="1"/>
        <v>94</v>
      </c>
      <c r="L29" s="32">
        <f t="shared" si="2"/>
        <v>47</v>
      </c>
      <c r="M29" s="38" t="str">
        <f t="shared" si="3"/>
        <v>P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18</v>
      </c>
      <c r="H30" s="38">
        <f>VLOOKUP(C8,'2nd Term'!B9:AN48,25,FALSE)</f>
        <v>15</v>
      </c>
      <c r="I30" s="38">
        <f t="shared" si="0"/>
        <v>33</v>
      </c>
      <c r="J30" s="38">
        <f>(VLOOKUP(C8,'1st Term'!B9:AN48,24,FALSE))+(VLOOKUP(C8,'1st Term'!B9:AN48,25,FALSE))</f>
        <v>40</v>
      </c>
      <c r="K30" s="38">
        <f t="shared" si="1"/>
        <v>73</v>
      </c>
      <c r="L30" s="32">
        <f t="shared" si="2"/>
        <v>36.5</v>
      </c>
      <c r="M30" s="38" t="str">
        <f t="shared" si="3"/>
        <v>F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12</v>
      </c>
      <c r="H32" s="38">
        <f>VLOOKUP(C8,'2nd Term'!B9:AN48,29,FALSE)</f>
        <v>17</v>
      </c>
      <c r="I32" s="38">
        <f t="shared" si="0"/>
        <v>29</v>
      </c>
      <c r="J32" s="38">
        <f>(VLOOKUP(C8,'1st Term'!B9:AN48,28,FALSE))+(VLOOKUP(C8,'1st Term'!B9:AN48,29,FALSE))</f>
        <v>43</v>
      </c>
      <c r="K32" s="38">
        <f t="shared" si="1"/>
        <v>72</v>
      </c>
      <c r="L32" s="32">
        <f t="shared" si="2"/>
        <v>36</v>
      </c>
      <c r="M32" s="38" t="str">
        <f t="shared" si="3"/>
        <v>F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20</v>
      </c>
      <c r="H33" s="38">
        <f>VLOOKUP(C8,'2nd Term'!B9:AN48,31,FALSE)</f>
        <v>13</v>
      </c>
      <c r="I33" s="38">
        <f t="shared" si="0"/>
        <v>33</v>
      </c>
      <c r="J33" s="38">
        <f>(VLOOKUP(C8,'1st Term'!B9:AN48,30,FALSE))+(VLOOKUP(C8,'1st Term'!B9:AN48,31,FALSE))</f>
        <v>38</v>
      </c>
      <c r="K33" s="38">
        <f t="shared" si="1"/>
        <v>71</v>
      </c>
      <c r="L33" s="32">
        <f t="shared" si="2"/>
        <v>35.5</v>
      </c>
      <c r="M33" s="38" t="str">
        <f t="shared" si="3"/>
        <v>F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29</v>
      </c>
      <c r="H34" s="38">
        <f>VLOOKUP(C8,'2nd Term'!B9:AN48,33,FALSE)</f>
        <v>30</v>
      </c>
      <c r="I34" s="38">
        <f t="shared" si="0"/>
        <v>59</v>
      </c>
      <c r="J34" s="38">
        <f>(VLOOKUP(C8,'1st Term'!B9:AN48,32,FALSE))+(VLOOKUP(C8,'1st Term'!B9:AN48,33,FALSE))</f>
        <v>36</v>
      </c>
      <c r="K34" s="38">
        <f t="shared" si="1"/>
        <v>95</v>
      </c>
      <c r="L34" s="32">
        <f t="shared" si="2"/>
        <v>47.5</v>
      </c>
      <c r="M34" s="38" t="str">
        <f t="shared" si="3"/>
        <v>P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14</v>
      </c>
      <c r="H35" s="38">
        <f>VLOOKUP(C8,'2nd Term'!B9:AN48,35,FALSE)</f>
        <v>14</v>
      </c>
      <c r="I35" s="38">
        <f t="shared" si="0"/>
        <v>28</v>
      </c>
      <c r="J35" s="38">
        <f>(VLOOKUP(C8,'1st Term'!B9:AN48,34,FALSE))+(VLOOKUP(C8,'1st Term'!B9:AN48,35,FALSE))</f>
        <v>19</v>
      </c>
      <c r="K35" s="38">
        <f t="shared" si="1"/>
        <v>47</v>
      </c>
      <c r="L35" s="32">
        <f t="shared" si="2"/>
        <v>23.5</v>
      </c>
      <c r="M35" s="38" t="str">
        <f t="shared" si="3"/>
        <v>F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14</v>
      </c>
      <c r="H36" s="38">
        <f>VLOOKUP(C8,'2nd Term'!B9:AN48,37,FALSE)</f>
        <v>28</v>
      </c>
      <c r="I36" s="38">
        <f t="shared" si="0"/>
        <v>42</v>
      </c>
      <c r="J36" s="38">
        <f>(VLOOKUP(C8,'1st Term'!B9:AN48,36,FALSE))+(VLOOKUP(C8,'1st Term'!B9:AN48,37,FALSE))</f>
        <v>37</v>
      </c>
      <c r="K36" s="38">
        <f t="shared" si="1"/>
        <v>79</v>
      </c>
      <c r="L36" s="32">
        <f t="shared" si="2"/>
        <v>39.5</v>
      </c>
      <c r="M36" s="38" t="str">
        <f t="shared" si="3"/>
        <v>F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11</v>
      </c>
      <c r="H37" s="38">
        <f>VLOOKUP(C8,'2nd Term'!B9:AN48,39,FALSE)</f>
        <v>15</v>
      </c>
      <c r="I37" s="38">
        <f t="shared" si="0"/>
        <v>26</v>
      </c>
      <c r="J37" s="38">
        <f>(VLOOKUP(C8,'1st Term'!B9:AN48,38,FALSE))+(VLOOKUP(C8,'1st Term'!B9:AN48,39,FALSE))</f>
        <v>19</v>
      </c>
      <c r="K37" s="38">
        <f t="shared" si="1"/>
        <v>45</v>
      </c>
      <c r="L37" s="32">
        <f t="shared" si="2"/>
        <v>22.5</v>
      </c>
      <c r="M37" s="38" t="str">
        <f t="shared" si="3"/>
        <v>F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102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x6PCvaopkP41UtF5rv6RNvPjunxyk7dcmVFNkwjzS7sqqXuLp/nUvoX1wo8KlNo8ByYBNhbsb/5Zyu1wo0UZ9Q==" saltValue="FB8aATvnuh2fTp6Pz/y+Sg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67" priority="1" operator="equal">
      <formula>"F"</formula>
    </cfRule>
    <cfRule type="cellIs" dxfId="66" priority="2" operator="equal">
      <formula>"P"</formula>
    </cfRule>
    <cfRule type="cellIs" dxfId="65" priority="3" operator="equal">
      <formula>"C"</formula>
    </cfRule>
    <cfRule type="cellIs" dxfId="64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08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8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M51"/>
  <sheetViews>
    <sheetView workbookViewId="0">
      <selection activeCell="B13" sqref="B13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Term'!B15)</f>
        <v>MBUOTIDEM MOSES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52.705882352941174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11th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110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55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52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35</v>
      </c>
      <c r="I19" s="38">
        <f>SUM(G19:H19)</f>
        <v>63</v>
      </c>
      <c r="J19" s="38">
        <f>(VLOOKUP(C8,'1st Term'!B9:AN48,2,FALSE))+(VLOOKUP(C8,'1st Term'!B9:AN48,3,FALSE))</f>
        <v>58</v>
      </c>
      <c r="K19" s="38">
        <f>SUM(I19:J19)</f>
        <v>121</v>
      </c>
      <c r="L19" s="32">
        <f>K19/2</f>
        <v>60.5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25</v>
      </c>
      <c r="H20" s="38">
        <f>VLOOKUP(C8,'2nd Term'!B9:AN48,5,FALSE)</f>
        <v>41</v>
      </c>
      <c r="I20" s="38">
        <f t="shared" ref="I20:I37" si="0">SUM(G20:H20)</f>
        <v>66</v>
      </c>
      <c r="J20" s="38">
        <f>(VLOOKUP(C8,'1st Term'!B9:AN48,4,FALSE))+(VLOOKUP(C8,'1st Term'!B9:AN48,5,FALSE))</f>
        <v>62</v>
      </c>
      <c r="K20" s="38">
        <f t="shared" ref="K20:K37" si="1">SUM(I20:J20)</f>
        <v>128</v>
      </c>
      <c r="L20" s="32">
        <f t="shared" ref="L20:L37" si="2">K20/2</f>
        <v>64</v>
      </c>
      <c r="M20" s="38" t="str">
        <f t="shared" ref="M20:M37" si="3">IF(L20&gt;=70,"A",IF(L20&gt;=50,"C",IF(L20&gt;=40,"P","F")))</f>
        <v>C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17</v>
      </c>
      <c r="H21" s="38">
        <f>VLOOKUP(C8,'2nd Term'!B9:AN48,7,FALSE)</f>
        <v>37</v>
      </c>
      <c r="I21" s="38">
        <f t="shared" si="0"/>
        <v>54</v>
      </c>
      <c r="J21" s="38">
        <f>(VLOOKUP(C8,'1st Term'!B9:AN48,6,FALSE))+(VLOOKUP(C8,'1st Term'!B9:AN48,7,FALSE))</f>
        <v>67</v>
      </c>
      <c r="K21" s="38">
        <f t="shared" si="1"/>
        <v>121</v>
      </c>
      <c r="L21" s="32">
        <f t="shared" si="2"/>
        <v>60.5</v>
      </c>
      <c r="M21" s="38" t="str">
        <f t="shared" si="3"/>
        <v>C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17</v>
      </c>
      <c r="H22" s="38">
        <f>VLOOKUP(C8,'2nd Term'!B9:AN48,9,FALSE)</f>
        <v>19</v>
      </c>
      <c r="I22" s="38">
        <f t="shared" si="0"/>
        <v>36</v>
      </c>
      <c r="J22" s="38">
        <f>(VLOOKUP(C8,'1st Term'!B9:AN48,8,FALSE))+(VLOOKUP(C8,'1st Term'!B9:AN48,9,FALSE))</f>
        <v>56</v>
      </c>
      <c r="K22" s="38">
        <f t="shared" si="1"/>
        <v>92</v>
      </c>
      <c r="L22" s="32">
        <f t="shared" si="2"/>
        <v>46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16</v>
      </c>
      <c r="H23" s="38">
        <f>VLOOKUP(C8,'2nd Term'!B9:AN48,11,FALSE)</f>
        <v>25</v>
      </c>
      <c r="I23" s="38">
        <f t="shared" si="0"/>
        <v>41</v>
      </c>
      <c r="J23" s="38">
        <f>(VLOOKUP(C8,'1st Term'!B9:AN48,10,FALSE))+(VLOOKUP(C8,'1st Term'!B9:AN48,11,FALSE))</f>
        <v>67</v>
      </c>
      <c r="K23" s="38">
        <f t="shared" si="1"/>
        <v>108</v>
      </c>
      <c r="L23" s="32">
        <f t="shared" si="2"/>
        <v>54</v>
      </c>
      <c r="M23" s="38" t="str">
        <f t="shared" si="3"/>
        <v>C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21</v>
      </c>
      <c r="H24" s="38">
        <f>VLOOKUP(C8,'2nd Term'!B9:AN48,13,FALSE)</f>
        <v>20</v>
      </c>
      <c r="I24" s="38">
        <f t="shared" si="0"/>
        <v>41</v>
      </c>
      <c r="J24" s="38">
        <f>(VLOOKUP(C8,'1st Term'!B9:AN48,12,FALSE))+(VLOOKUP(C8,'1st Term'!B9:AN48,13,FALSE))</f>
        <v>42</v>
      </c>
      <c r="K24" s="38">
        <f t="shared" si="1"/>
        <v>83</v>
      </c>
      <c r="L24" s="32">
        <f t="shared" si="2"/>
        <v>41.5</v>
      </c>
      <c r="M24" s="38" t="str">
        <f t="shared" si="3"/>
        <v>P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19</v>
      </c>
      <c r="H25" s="38">
        <f>VLOOKUP(C8,'2nd Term'!B9:AN48,15,FALSE)</f>
        <v>34</v>
      </c>
      <c r="I25" s="38">
        <f t="shared" si="0"/>
        <v>53</v>
      </c>
      <c r="J25" s="38">
        <f>(VLOOKUP(C8,'1st Term'!B9:AN48,14,FALSE))+(VLOOKUP(C8,'1st Term'!B9:AN48,15,FALSE))</f>
        <v>63</v>
      </c>
      <c r="K25" s="38">
        <f t="shared" si="1"/>
        <v>116</v>
      </c>
      <c r="L25" s="32">
        <f t="shared" si="2"/>
        <v>58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26</v>
      </c>
      <c r="H26" s="38">
        <f>VLOOKUP(C8,'2nd Term'!B9:AN48,17,FALSE)</f>
        <v>35</v>
      </c>
      <c r="I26" s="38">
        <f t="shared" si="0"/>
        <v>61</v>
      </c>
      <c r="J26" s="38">
        <f>(VLOOKUP(C8,'1st Term'!B9:AN48,16,FALSE))+(VLOOKUP(C8,'1st Term'!B9:AN48,17,FALSE))</f>
        <v>37</v>
      </c>
      <c r="K26" s="38">
        <f t="shared" si="1"/>
        <v>98</v>
      </c>
      <c r="L26" s="32">
        <f t="shared" si="2"/>
        <v>49</v>
      </c>
      <c r="M26" s="38" t="str">
        <f t="shared" si="3"/>
        <v>P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22</v>
      </c>
      <c r="H28" s="38">
        <f>VLOOKUP(C8,'2nd Term'!B9:AN48,21,FALSE)</f>
        <v>42</v>
      </c>
      <c r="I28" s="38">
        <f t="shared" si="0"/>
        <v>64</v>
      </c>
      <c r="J28" s="38">
        <f>(VLOOKUP(C8,'1st Term'!B9:AN48,20,FALSE))+(VLOOKUP(C8,'1st Term'!B9:AN48,21,FALSE))</f>
        <v>52</v>
      </c>
      <c r="K28" s="38">
        <f t="shared" si="1"/>
        <v>116</v>
      </c>
      <c r="L28" s="32">
        <f t="shared" si="2"/>
        <v>58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30</v>
      </c>
      <c r="H29" s="38">
        <f>VLOOKUP(C8,'2nd Term'!B9:AN48,23,FALSE)</f>
        <v>37</v>
      </c>
      <c r="I29" s="38">
        <f t="shared" si="0"/>
        <v>67</v>
      </c>
      <c r="J29" s="38">
        <f>(VLOOKUP(C8,'1st Term'!B9:AN48,22,FALSE))+(VLOOKUP(C8,'1st Term'!B9:AN48,23,FALSE))</f>
        <v>64</v>
      </c>
      <c r="K29" s="38">
        <f t="shared" si="1"/>
        <v>131</v>
      </c>
      <c r="L29" s="32">
        <f t="shared" si="2"/>
        <v>65.5</v>
      </c>
      <c r="M29" s="38" t="str">
        <f t="shared" si="3"/>
        <v>C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23</v>
      </c>
      <c r="H30" s="38">
        <f>VLOOKUP(C8,'2nd Term'!B9:AN48,25,FALSE)</f>
        <v>27</v>
      </c>
      <c r="I30" s="38">
        <f t="shared" si="0"/>
        <v>50</v>
      </c>
      <c r="J30" s="38">
        <f>(VLOOKUP(C8,'1st Term'!B9:AN48,24,FALSE))+(VLOOKUP(C8,'1st Term'!B9:AN48,25,FALSE))</f>
        <v>70</v>
      </c>
      <c r="K30" s="38">
        <f t="shared" si="1"/>
        <v>120</v>
      </c>
      <c r="L30" s="32">
        <f t="shared" si="2"/>
        <v>60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16</v>
      </c>
      <c r="H32" s="38">
        <f>VLOOKUP(C8,'2nd Term'!B9:AN48,29,FALSE)</f>
        <v>21</v>
      </c>
      <c r="I32" s="38">
        <f t="shared" si="0"/>
        <v>37</v>
      </c>
      <c r="J32" s="38">
        <f>(VLOOKUP(C8,'1st Term'!B9:AN48,28,FALSE))+(VLOOKUP(C8,'1st Term'!B9:AN48,29,FALSE))</f>
        <v>51</v>
      </c>
      <c r="K32" s="38">
        <f t="shared" si="1"/>
        <v>88</v>
      </c>
      <c r="L32" s="32">
        <f t="shared" si="2"/>
        <v>44</v>
      </c>
      <c r="M32" s="38" t="str">
        <f t="shared" si="3"/>
        <v>P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25</v>
      </c>
      <c r="H33" s="38">
        <f>VLOOKUP(C8,'2nd Term'!B9:AN48,31,FALSE)</f>
        <v>11</v>
      </c>
      <c r="I33" s="38">
        <f t="shared" si="0"/>
        <v>36</v>
      </c>
      <c r="J33" s="38">
        <f>(VLOOKUP(C8,'1st Term'!B9:AN48,30,FALSE))+(VLOOKUP(C8,'1st Term'!B9:AN48,31,FALSE))</f>
        <v>68</v>
      </c>
      <c r="K33" s="38">
        <f t="shared" si="1"/>
        <v>104</v>
      </c>
      <c r="L33" s="32">
        <f t="shared" si="2"/>
        <v>52</v>
      </c>
      <c r="M33" s="38" t="str">
        <f t="shared" si="3"/>
        <v>C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27</v>
      </c>
      <c r="H34" s="38">
        <f>VLOOKUP(C8,'2nd Term'!B9:AN48,33,FALSE)</f>
        <v>30</v>
      </c>
      <c r="I34" s="38">
        <f t="shared" si="0"/>
        <v>57</v>
      </c>
      <c r="J34" s="38">
        <f>(VLOOKUP(C8,'1st Term'!B9:AN48,32,FALSE))+(VLOOKUP(C8,'1st Term'!B9:AN48,33,FALSE))</f>
        <v>55</v>
      </c>
      <c r="K34" s="38">
        <f t="shared" si="1"/>
        <v>112</v>
      </c>
      <c r="L34" s="32">
        <f t="shared" si="2"/>
        <v>56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15</v>
      </c>
      <c r="H35" s="38">
        <f>VLOOKUP(C8,'2nd Term'!B9:AN48,35,FALSE)</f>
        <v>26</v>
      </c>
      <c r="I35" s="38">
        <f t="shared" si="0"/>
        <v>41</v>
      </c>
      <c r="J35" s="38">
        <f>(VLOOKUP(C8,'1st Term'!B9:AN48,34,FALSE))+(VLOOKUP(C8,'1st Term'!B9:AN48,35,FALSE))</f>
        <v>53</v>
      </c>
      <c r="K35" s="38">
        <f t="shared" si="1"/>
        <v>94</v>
      </c>
      <c r="L35" s="32">
        <f t="shared" si="2"/>
        <v>47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17</v>
      </c>
      <c r="H36" s="38">
        <f>VLOOKUP(C8,'2nd Term'!B9:AN48,37,FALSE)</f>
        <v>30</v>
      </c>
      <c r="I36" s="38">
        <f t="shared" si="0"/>
        <v>47</v>
      </c>
      <c r="J36" s="38">
        <f>(VLOOKUP(C8,'1st Term'!B9:AN48,36,FALSE))+(VLOOKUP(C8,'1st Term'!B9:AN48,37,FALSE))</f>
        <v>33</v>
      </c>
      <c r="K36" s="38">
        <f t="shared" si="1"/>
        <v>80</v>
      </c>
      <c r="L36" s="32">
        <f t="shared" si="2"/>
        <v>40</v>
      </c>
      <c r="M36" s="38" t="str">
        <f t="shared" si="3"/>
        <v>P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22</v>
      </c>
      <c r="H37" s="38">
        <f>VLOOKUP(C8,'2nd Term'!B9:AN48,39,FALSE)</f>
        <v>20</v>
      </c>
      <c r="I37" s="38">
        <f t="shared" si="0"/>
        <v>42</v>
      </c>
      <c r="J37" s="38">
        <f>(VLOOKUP(C8,'1st Term'!B9:AN48,38,FALSE))+(VLOOKUP(C8,'1st Term'!B9:AN48,39,FALSE))</f>
        <v>38</v>
      </c>
      <c r="K37" s="38">
        <f t="shared" si="1"/>
        <v>80</v>
      </c>
      <c r="L37" s="32">
        <f t="shared" si="2"/>
        <v>40</v>
      </c>
      <c r="M37" s="38" t="str">
        <f t="shared" si="3"/>
        <v>P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171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100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OxCeQadg/w7kbgsWdWbHr7iKy1vNJ0dr6rXkbh/cQJ1r1tmpIHULsoQfkGR25Y6kU/1RqwDeHpT1Ojb0Dd5qIQ==" saltValue="UnYngdJ+4+pWNPcP7rDGGQ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63" priority="1" operator="equal">
      <formula>"F"</formula>
    </cfRule>
    <cfRule type="cellIs" dxfId="62" priority="2" operator="equal">
      <formula>"P"</formula>
    </cfRule>
    <cfRule type="cellIs" dxfId="61" priority="3" operator="equal">
      <formula>"C"</formula>
    </cfRule>
    <cfRule type="cellIs" dxfId="60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09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9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M51"/>
  <sheetViews>
    <sheetView workbookViewId="0">
      <selection activeCell="J8" sqref="J8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Term'!B16)</f>
        <v>ENEJOH PHINEHAS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43.294117647058826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16th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52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116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55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42</v>
      </c>
      <c r="I19" s="38">
        <f>SUM(G19:H19)</f>
        <v>70</v>
      </c>
      <c r="J19" s="38">
        <f>(VLOOKUP(C8,'1st Term'!B9:AN48,2,FALSE))+(VLOOKUP(C8,'1st Term'!B9:AN48,3,FALSE))</f>
        <v>67</v>
      </c>
      <c r="K19" s="38">
        <f>SUM(I19:J19)</f>
        <v>137</v>
      </c>
      <c r="L19" s="32">
        <f>K19/2</f>
        <v>68.5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19</v>
      </c>
      <c r="H20" s="38">
        <f>VLOOKUP(C8,'2nd Term'!B9:AN48,5,FALSE)</f>
        <v>36</v>
      </c>
      <c r="I20" s="38">
        <f t="shared" ref="I20:I37" si="0">SUM(G20:H20)</f>
        <v>55</v>
      </c>
      <c r="J20" s="38">
        <f>(VLOOKUP(C8,'1st Term'!B9:AN48,4,FALSE))+(VLOOKUP(C8,'1st Term'!B9:AN48,5,FALSE))</f>
        <v>46</v>
      </c>
      <c r="K20" s="38">
        <f t="shared" ref="K20:K37" si="1">SUM(I20:J20)</f>
        <v>101</v>
      </c>
      <c r="L20" s="32">
        <f t="shared" ref="L20:L37" si="2">K20/2</f>
        <v>50.5</v>
      </c>
      <c r="M20" s="38" t="str">
        <f t="shared" ref="M20:M37" si="3">IF(L20&gt;=70,"A",IF(L20&gt;=50,"C",IF(L20&gt;=40,"P","F")))</f>
        <v>C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24</v>
      </c>
      <c r="H21" s="38">
        <f>VLOOKUP(C8,'2nd Term'!B9:AN48,7,FALSE)</f>
        <v>47</v>
      </c>
      <c r="I21" s="38">
        <f t="shared" si="0"/>
        <v>71</v>
      </c>
      <c r="J21" s="38">
        <f>(VLOOKUP(C8,'1st Term'!B9:AN48,6,FALSE))+(VLOOKUP(C8,'1st Term'!B9:AN48,7,FALSE))</f>
        <v>32</v>
      </c>
      <c r="K21" s="38">
        <f t="shared" si="1"/>
        <v>103</v>
      </c>
      <c r="L21" s="32">
        <f t="shared" si="2"/>
        <v>51.5</v>
      </c>
      <c r="M21" s="38" t="str">
        <f t="shared" si="3"/>
        <v>C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17</v>
      </c>
      <c r="H22" s="38">
        <f>VLOOKUP(C8,'2nd Term'!B9:AN48,9,FALSE)</f>
        <v>25</v>
      </c>
      <c r="I22" s="38">
        <f t="shared" si="0"/>
        <v>42</v>
      </c>
      <c r="J22" s="38">
        <f>(VLOOKUP(C8,'1st Term'!B9:AN48,8,FALSE))+(VLOOKUP(C8,'1st Term'!B9:AN48,9,FALSE))</f>
        <v>30</v>
      </c>
      <c r="K22" s="38">
        <f t="shared" si="1"/>
        <v>72</v>
      </c>
      <c r="L22" s="32">
        <f t="shared" si="2"/>
        <v>36</v>
      </c>
      <c r="M22" s="38" t="str">
        <f t="shared" si="3"/>
        <v>F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29</v>
      </c>
      <c r="H23" s="38">
        <f>VLOOKUP(C8,'2nd Term'!B9:AN48,11,FALSE)</f>
        <v>20</v>
      </c>
      <c r="I23" s="38">
        <f t="shared" si="0"/>
        <v>49</v>
      </c>
      <c r="J23" s="38">
        <f>(VLOOKUP(C8,'1st Term'!B9:AN48,10,FALSE))+(VLOOKUP(C8,'1st Term'!B9:AN48,11,FALSE))</f>
        <v>40</v>
      </c>
      <c r="K23" s="38">
        <f t="shared" si="1"/>
        <v>89</v>
      </c>
      <c r="L23" s="32">
        <f t="shared" si="2"/>
        <v>44.5</v>
      </c>
      <c r="M23" s="38" t="str">
        <f t="shared" si="3"/>
        <v>P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19</v>
      </c>
      <c r="H24" s="38">
        <f>VLOOKUP(C8,'2nd Term'!B9:AN48,13,FALSE)</f>
        <v>16</v>
      </c>
      <c r="I24" s="38">
        <f t="shared" si="0"/>
        <v>35</v>
      </c>
      <c r="J24" s="38">
        <f>(VLOOKUP(C8,'1st Term'!B9:AN48,12,FALSE))+(VLOOKUP(C8,'1st Term'!B9:AN48,13,FALSE))</f>
        <v>47</v>
      </c>
      <c r="K24" s="38">
        <f t="shared" si="1"/>
        <v>82</v>
      </c>
      <c r="L24" s="32">
        <f t="shared" si="2"/>
        <v>41</v>
      </c>
      <c r="M24" s="38" t="str">
        <f t="shared" si="3"/>
        <v>P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25</v>
      </c>
      <c r="H25" s="38">
        <f>VLOOKUP(C8,'2nd Term'!B9:AN48,15,FALSE)</f>
        <v>27</v>
      </c>
      <c r="I25" s="38">
        <f t="shared" si="0"/>
        <v>52</v>
      </c>
      <c r="J25" s="38">
        <f>(VLOOKUP(C8,'1st Term'!B9:AN48,14,FALSE))+(VLOOKUP(C8,'1st Term'!B9:AN48,15,FALSE))</f>
        <v>34</v>
      </c>
      <c r="K25" s="38">
        <f t="shared" si="1"/>
        <v>86</v>
      </c>
      <c r="L25" s="32">
        <f t="shared" si="2"/>
        <v>43</v>
      </c>
      <c r="M25" s="38" t="str">
        <f t="shared" si="3"/>
        <v>P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18</v>
      </c>
      <c r="H26" s="38">
        <f>VLOOKUP(C8,'2nd Term'!B9:AN48,17,FALSE)</f>
        <v>20</v>
      </c>
      <c r="I26" s="38">
        <f t="shared" si="0"/>
        <v>38</v>
      </c>
      <c r="J26" s="38">
        <f>(VLOOKUP(C8,'1st Term'!B9:AN48,16,FALSE))+(VLOOKUP(C8,'1st Term'!B9:AN48,17,FALSE))</f>
        <v>31</v>
      </c>
      <c r="K26" s="38">
        <f t="shared" si="1"/>
        <v>69</v>
      </c>
      <c r="L26" s="32">
        <f t="shared" si="2"/>
        <v>34.5</v>
      </c>
      <c r="M26" s="38" t="str">
        <f t="shared" si="3"/>
        <v>F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14</v>
      </c>
      <c r="H28" s="38">
        <f>VLOOKUP(C8,'2nd Term'!B9:AN48,21,FALSE)</f>
        <v>28</v>
      </c>
      <c r="I28" s="38">
        <f t="shared" si="0"/>
        <v>42</v>
      </c>
      <c r="J28" s="38">
        <f>(VLOOKUP(C8,'1st Term'!B9:AN48,20,FALSE))+(VLOOKUP(C8,'1st Term'!B9:AN48,21,FALSE))</f>
        <v>27</v>
      </c>
      <c r="K28" s="38">
        <f t="shared" si="1"/>
        <v>69</v>
      </c>
      <c r="L28" s="32">
        <f t="shared" si="2"/>
        <v>34.5</v>
      </c>
      <c r="M28" s="38" t="str">
        <f t="shared" si="3"/>
        <v>F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24</v>
      </c>
      <c r="H29" s="38">
        <f>VLOOKUP(C8,'2nd Term'!B9:AN48,23,FALSE)</f>
        <v>22</v>
      </c>
      <c r="I29" s="38">
        <f t="shared" si="0"/>
        <v>46</v>
      </c>
      <c r="J29" s="38">
        <f>(VLOOKUP(C8,'1st Term'!B9:AN48,22,FALSE))+(VLOOKUP(C8,'1st Term'!B9:AN48,23,FALSE))</f>
        <v>32</v>
      </c>
      <c r="K29" s="38">
        <f t="shared" si="1"/>
        <v>78</v>
      </c>
      <c r="L29" s="32">
        <f t="shared" si="2"/>
        <v>39</v>
      </c>
      <c r="M29" s="38" t="str">
        <f t="shared" si="3"/>
        <v>F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16</v>
      </c>
      <c r="H30" s="38">
        <f>VLOOKUP(C8,'2nd Term'!B9:AN48,25,FALSE)</f>
        <v>15</v>
      </c>
      <c r="I30" s="38">
        <f t="shared" si="0"/>
        <v>31</v>
      </c>
      <c r="J30" s="38">
        <f>(VLOOKUP(C8,'1st Term'!B9:AN48,24,FALSE))+(VLOOKUP(C8,'1st Term'!B9:AN48,25,FALSE))</f>
        <v>40</v>
      </c>
      <c r="K30" s="38">
        <f t="shared" si="1"/>
        <v>71</v>
      </c>
      <c r="L30" s="32">
        <f t="shared" si="2"/>
        <v>35.5</v>
      </c>
      <c r="M30" s="38" t="str">
        <f t="shared" si="3"/>
        <v>F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12</v>
      </c>
      <c r="H32" s="38">
        <f>VLOOKUP(C8,'2nd Term'!B9:AN48,29,FALSE)</f>
        <v>19</v>
      </c>
      <c r="I32" s="38">
        <f t="shared" si="0"/>
        <v>31</v>
      </c>
      <c r="J32" s="38">
        <f>(VLOOKUP(C8,'1st Term'!B9:AN48,28,FALSE))+(VLOOKUP(C8,'1st Term'!B9:AN48,29,FALSE))</f>
        <v>40</v>
      </c>
      <c r="K32" s="38">
        <f t="shared" si="1"/>
        <v>71</v>
      </c>
      <c r="L32" s="32">
        <f t="shared" si="2"/>
        <v>35.5</v>
      </c>
      <c r="M32" s="38" t="str">
        <f t="shared" si="3"/>
        <v>F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25</v>
      </c>
      <c r="H33" s="38">
        <f>VLOOKUP(C8,'2nd Term'!B9:AN48,31,FALSE)</f>
        <v>29</v>
      </c>
      <c r="I33" s="38">
        <f t="shared" si="0"/>
        <v>54</v>
      </c>
      <c r="J33" s="38">
        <f>(VLOOKUP(C8,'1st Term'!B9:AN48,30,FALSE))+(VLOOKUP(C8,'1st Term'!B9:AN48,31,FALSE))</f>
        <v>34</v>
      </c>
      <c r="K33" s="38">
        <f t="shared" si="1"/>
        <v>88</v>
      </c>
      <c r="L33" s="32">
        <f t="shared" si="2"/>
        <v>44</v>
      </c>
      <c r="M33" s="38" t="str">
        <f t="shared" si="3"/>
        <v>P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29</v>
      </c>
      <c r="H34" s="38">
        <f>VLOOKUP(C8,'2nd Term'!B9:AN48,33,FALSE)</f>
        <v>30</v>
      </c>
      <c r="I34" s="38">
        <f t="shared" si="0"/>
        <v>59</v>
      </c>
      <c r="J34" s="38">
        <f>(VLOOKUP(C8,'1st Term'!B9:AN48,32,FALSE))+(VLOOKUP(C8,'1st Term'!B9:AN48,33,FALSE))</f>
        <v>49</v>
      </c>
      <c r="K34" s="38">
        <f t="shared" si="1"/>
        <v>108</v>
      </c>
      <c r="L34" s="32">
        <f t="shared" si="2"/>
        <v>54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18</v>
      </c>
      <c r="H35" s="38">
        <f>VLOOKUP(C8,'2nd Term'!B9:AN48,35,FALSE)</f>
        <v>22</v>
      </c>
      <c r="I35" s="38">
        <f t="shared" si="0"/>
        <v>40</v>
      </c>
      <c r="J35" s="38">
        <f>(VLOOKUP(C8,'1st Term'!B9:AN48,34,FALSE))+(VLOOKUP(C8,'1st Term'!B9:AN48,35,FALSE))</f>
        <v>32</v>
      </c>
      <c r="K35" s="38">
        <f t="shared" si="1"/>
        <v>72</v>
      </c>
      <c r="L35" s="32">
        <f t="shared" si="2"/>
        <v>36</v>
      </c>
      <c r="M35" s="38" t="str">
        <f t="shared" si="3"/>
        <v>F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16</v>
      </c>
      <c r="H36" s="38">
        <f>VLOOKUP(C8,'2nd Term'!B9:AN48,37,FALSE)</f>
        <v>36</v>
      </c>
      <c r="I36" s="38">
        <f t="shared" si="0"/>
        <v>52</v>
      </c>
      <c r="J36" s="38">
        <f>(VLOOKUP(C8,'1st Term'!B9:AN48,36,FALSE))+(VLOOKUP(C8,'1st Term'!B9:AN48,37,FALSE))</f>
        <v>48</v>
      </c>
      <c r="K36" s="38">
        <f t="shared" si="1"/>
        <v>100</v>
      </c>
      <c r="L36" s="32">
        <f t="shared" si="2"/>
        <v>50</v>
      </c>
      <c r="M36" s="38" t="str">
        <f t="shared" si="3"/>
        <v>C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21</v>
      </c>
      <c r="H37" s="38">
        <f>VLOOKUP(C8,'2nd Term'!B9:AN48,39,FALSE)</f>
        <v>15</v>
      </c>
      <c r="I37" s="38">
        <f t="shared" si="0"/>
        <v>36</v>
      </c>
      <c r="J37" s="38">
        <f>(VLOOKUP(C8,'1st Term'!B9:AN48,38,FALSE))+(VLOOKUP(C8,'1st Term'!B9:AN48,39,FALSE))</f>
        <v>40</v>
      </c>
      <c r="K37" s="38">
        <f t="shared" si="1"/>
        <v>76</v>
      </c>
      <c r="L37" s="32">
        <f t="shared" si="2"/>
        <v>38</v>
      </c>
      <c r="M37" s="38" t="str">
        <f t="shared" si="3"/>
        <v>F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176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102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Eys+CvJmkgi6ojw/PUUZVTrpiNMgBBY3SLPXj2VPTsQ51yAEqj1/dITdvp0DsWAR1VcPZefaSNLsqA1w3JKe7g==" saltValue="lCd0hD5C4+pNEfGvZ2nb9w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59" priority="1" operator="equal">
      <formula>"F"</formula>
    </cfRule>
    <cfRule type="cellIs" dxfId="58" priority="2" operator="equal">
      <formula>"P"</formula>
    </cfRule>
    <cfRule type="cellIs" dxfId="57" priority="3" operator="equal">
      <formula>"C"</formula>
    </cfRule>
    <cfRule type="cellIs" dxfId="56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0A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A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M51"/>
  <sheetViews>
    <sheetView workbookViewId="0">
      <selection activeCell="A10" sqref="A10:B10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Term'!B17)</f>
        <v>EWELUKWA FAVOUR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67.441176470588232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5th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118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29</v>
      </c>
      <c r="H19" s="38">
        <f>VLOOKUP(C8,'2nd Term'!B9:AN48,3,FALSE)</f>
        <v>65</v>
      </c>
      <c r="I19" s="38">
        <f>SUM(G19:H19)</f>
        <v>94</v>
      </c>
      <c r="J19" s="38">
        <f>(VLOOKUP(C8,'1st Term'!B9:AN48,2,FALSE))+(VLOOKUP(C8,'1st Term'!B9:AN48,3,FALSE))</f>
        <v>91</v>
      </c>
      <c r="K19" s="38">
        <f>SUM(I19:J19)</f>
        <v>185</v>
      </c>
      <c r="L19" s="32">
        <f>K19/2</f>
        <v>92.5</v>
      </c>
      <c r="M19" s="38" t="str">
        <f>IF(L19&gt;=70,"A",IF(L19&gt;=50,"C",IF(L19&gt;=40,"P","F")))</f>
        <v>A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26</v>
      </c>
      <c r="H20" s="38">
        <f>VLOOKUP(C8,'2nd Term'!B9:AN48,5,FALSE)</f>
        <v>58</v>
      </c>
      <c r="I20" s="38">
        <f t="shared" ref="I20:I37" si="0">SUM(G20:H20)</f>
        <v>84</v>
      </c>
      <c r="J20" s="38">
        <f>(VLOOKUP(C8,'1st Term'!B9:AN48,4,FALSE))+(VLOOKUP(C8,'1st Term'!B9:AN48,5,FALSE))</f>
        <v>80</v>
      </c>
      <c r="K20" s="38">
        <f t="shared" ref="K20:K37" si="1">SUM(I20:J20)</f>
        <v>164</v>
      </c>
      <c r="L20" s="32">
        <f t="shared" ref="L20:L37" si="2">K20/2</f>
        <v>82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26</v>
      </c>
      <c r="H21" s="38">
        <f>VLOOKUP(C8,'2nd Term'!B9:AN48,7,FALSE)</f>
        <v>70</v>
      </c>
      <c r="I21" s="38">
        <f t="shared" si="0"/>
        <v>96</v>
      </c>
      <c r="J21" s="38">
        <f>(VLOOKUP(C8,'1st Term'!B9:AN48,6,FALSE))+(VLOOKUP(C8,'1st Term'!B9:AN48,7,FALSE))</f>
        <v>73</v>
      </c>
      <c r="K21" s="38">
        <f t="shared" si="1"/>
        <v>169</v>
      </c>
      <c r="L21" s="32">
        <f t="shared" si="2"/>
        <v>84.5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18</v>
      </c>
      <c r="H22" s="38">
        <f>VLOOKUP(C8,'2nd Term'!B9:AN48,9,FALSE)</f>
        <v>26</v>
      </c>
      <c r="I22" s="38">
        <f t="shared" si="0"/>
        <v>44</v>
      </c>
      <c r="J22" s="38">
        <f>(VLOOKUP(C8,'1st Term'!B9:AN48,8,FALSE))+(VLOOKUP(C8,'1st Term'!B9:AN48,9,FALSE))</f>
        <v>60</v>
      </c>
      <c r="K22" s="38">
        <f t="shared" si="1"/>
        <v>104</v>
      </c>
      <c r="L22" s="32">
        <f t="shared" si="2"/>
        <v>52</v>
      </c>
      <c r="M22" s="38" t="str">
        <f t="shared" si="3"/>
        <v>C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30</v>
      </c>
      <c r="H23" s="38">
        <f>VLOOKUP(C8,'2nd Term'!B9:AN48,11,FALSE)</f>
        <v>59</v>
      </c>
      <c r="I23" s="38">
        <f t="shared" si="0"/>
        <v>89</v>
      </c>
      <c r="J23" s="38">
        <f>(VLOOKUP(C8,'1st Term'!B9:AN48,10,FALSE))+(VLOOKUP(C8,'1st Term'!B9:AN48,11,FALSE))</f>
        <v>56</v>
      </c>
      <c r="K23" s="38">
        <f t="shared" si="1"/>
        <v>145</v>
      </c>
      <c r="L23" s="32">
        <f t="shared" si="2"/>
        <v>72.5</v>
      </c>
      <c r="M23" s="38" t="str">
        <f t="shared" si="3"/>
        <v>A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20</v>
      </c>
      <c r="H24" s="38">
        <f>VLOOKUP(C8,'2nd Term'!B9:AN48,13,FALSE)</f>
        <v>34</v>
      </c>
      <c r="I24" s="38">
        <f t="shared" si="0"/>
        <v>54</v>
      </c>
      <c r="J24" s="38">
        <f>(VLOOKUP(C8,'1st Term'!B9:AN48,12,FALSE))+(VLOOKUP(C8,'1st Term'!B9:AN48,13,FALSE))</f>
        <v>33</v>
      </c>
      <c r="K24" s="38">
        <f t="shared" si="1"/>
        <v>87</v>
      </c>
      <c r="L24" s="32">
        <f t="shared" si="2"/>
        <v>43.5</v>
      </c>
      <c r="M24" s="38" t="str">
        <f t="shared" si="3"/>
        <v>P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25</v>
      </c>
      <c r="H25" s="38">
        <f>VLOOKUP(C8,'2nd Term'!B9:AN48,15,FALSE)</f>
        <v>42</v>
      </c>
      <c r="I25" s="38">
        <f t="shared" si="0"/>
        <v>67</v>
      </c>
      <c r="J25" s="38">
        <f>(VLOOKUP(C8,'1st Term'!B9:AN48,14,FALSE))+(VLOOKUP(C8,'1st Term'!B9:AN48,15,FALSE))</f>
        <v>70</v>
      </c>
      <c r="K25" s="38">
        <f t="shared" si="1"/>
        <v>137</v>
      </c>
      <c r="L25" s="32">
        <f t="shared" si="2"/>
        <v>68.5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22</v>
      </c>
      <c r="H26" s="38">
        <f>VLOOKUP(C8,'2nd Term'!B9:AN48,17,FALSE)</f>
        <v>48</v>
      </c>
      <c r="I26" s="38">
        <f t="shared" si="0"/>
        <v>70</v>
      </c>
      <c r="J26" s="38">
        <f>(VLOOKUP(C8,'1st Term'!B9:AN48,16,FALSE))+(VLOOKUP(C8,'1st Term'!B9:AN48,17,FALSE))</f>
        <v>68</v>
      </c>
      <c r="K26" s="38">
        <f t="shared" si="1"/>
        <v>138</v>
      </c>
      <c r="L26" s="32">
        <f t="shared" si="2"/>
        <v>69</v>
      </c>
      <c r="M26" s="38" t="str">
        <f t="shared" si="3"/>
        <v>C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24</v>
      </c>
      <c r="H28" s="38">
        <f>VLOOKUP(C8,'2nd Term'!B9:AN48,21,FALSE)</f>
        <v>59</v>
      </c>
      <c r="I28" s="38">
        <f t="shared" si="0"/>
        <v>83</v>
      </c>
      <c r="J28" s="38">
        <f>(VLOOKUP(C8,'1st Term'!B9:AN48,20,FALSE))+(VLOOKUP(C8,'1st Term'!B9:AN48,21,FALSE))</f>
        <v>70</v>
      </c>
      <c r="K28" s="38">
        <f t="shared" si="1"/>
        <v>153</v>
      </c>
      <c r="L28" s="32">
        <f t="shared" si="2"/>
        <v>76.5</v>
      </c>
      <c r="M28" s="38" t="str">
        <f t="shared" si="3"/>
        <v>A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29</v>
      </c>
      <c r="H29" s="38">
        <f>VLOOKUP(C8,'2nd Term'!B9:AN48,23,FALSE)</f>
        <v>62</v>
      </c>
      <c r="I29" s="38">
        <f t="shared" si="0"/>
        <v>91</v>
      </c>
      <c r="J29" s="38">
        <f>(VLOOKUP(C8,'1st Term'!B9:AN48,22,FALSE))+(VLOOKUP(C8,'1st Term'!B9:AN48,23,FALSE))</f>
        <v>84</v>
      </c>
      <c r="K29" s="38">
        <f t="shared" si="1"/>
        <v>175</v>
      </c>
      <c r="L29" s="32">
        <f t="shared" si="2"/>
        <v>87.5</v>
      </c>
      <c r="M29" s="38" t="str">
        <f t="shared" si="3"/>
        <v>A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21</v>
      </c>
      <c r="H30" s="38">
        <f>VLOOKUP(C8,'2nd Term'!B9:AN48,25,FALSE)</f>
        <v>36</v>
      </c>
      <c r="I30" s="38">
        <f t="shared" si="0"/>
        <v>57</v>
      </c>
      <c r="J30" s="38">
        <f>(VLOOKUP(C8,'1st Term'!B9:AN48,24,FALSE))+(VLOOKUP(C8,'1st Term'!B9:AN48,25,FALSE))</f>
        <v>82</v>
      </c>
      <c r="K30" s="38">
        <f t="shared" si="1"/>
        <v>139</v>
      </c>
      <c r="L30" s="32">
        <f t="shared" si="2"/>
        <v>69.5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20</v>
      </c>
      <c r="H32" s="38">
        <f>VLOOKUP(C8,'2nd Term'!B9:AN48,29,FALSE)</f>
        <v>41</v>
      </c>
      <c r="I32" s="38">
        <f t="shared" si="0"/>
        <v>61</v>
      </c>
      <c r="J32" s="38">
        <f>(VLOOKUP(C8,'1st Term'!B9:AN48,28,FALSE))+(VLOOKUP(C8,'1st Term'!B9:AN48,29,FALSE))</f>
        <v>61</v>
      </c>
      <c r="K32" s="38">
        <f t="shared" si="1"/>
        <v>122</v>
      </c>
      <c r="L32" s="32">
        <f t="shared" si="2"/>
        <v>61</v>
      </c>
      <c r="M32" s="38" t="str">
        <f t="shared" si="3"/>
        <v>C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25</v>
      </c>
      <c r="H33" s="38">
        <f>VLOOKUP(C8,'2nd Term'!B9:AN48,31,FALSE)</f>
        <v>52</v>
      </c>
      <c r="I33" s="38">
        <f t="shared" si="0"/>
        <v>77</v>
      </c>
      <c r="J33" s="38">
        <f>(VLOOKUP(C8,'1st Term'!B9:AN48,30,FALSE))+(VLOOKUP(C8,'1st Term'!B9:AN48,31,FALSE))</f>
        <v>45</v>
      </c>
      <c r="K33" s="38">
        <f t="shared" si="1"/>
        <v>122</v>
      </c>
      <c r="L33" s="32">
        <f t="shared" si="2"/>
        <v>61</v>
      </c>
      <c r="M33" s="38" t="str">
        <f t="shared" si="3"/>
        <v>C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26</v>
      </c>
      <c r="H34" s="38">
        <f>VLOOKUP(C8,'2nd Term'!B9:AN48,33,FALSE)</f>
        <v>40</v>
      </c>
      <c r="I34" s="38">
        <f t="shared" si="0"/>
        <v>66</v>
      </c>
      <c r="J34" s="38">
        <f>(VLOOKUP(C8,'1st Term'!B9:AN48,32,FALSE))+(VLOOKUP(C8,'1st Term'!B9:AN48,33,FALSE))</f>
        <v>61</v>
      </c>
      <c r="K34" s="38">
        <f t="shared" si="1"/>
        <v>127</v>
      </c>
      <c r="L34" s="32">
        <f t="shared" si="2"/>
        <v>63.5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17</v>
      </c>
      <c r="H35" s="38">
        <f>VLOOKUP(C8,'2nd Term'!B9:AN48,35,FALSE)</f>
        <v>24</v>
      </c>
      <c r="I35" s="38">
        <f t="shared" si="0"/>
        <v>41</v>
      </c>
      <c r="J35" s="38">
        <f>(VLOOKUP(C8,'1st Term'!B9:AN48,34,FALSE))+(VLOOKUP(C8,'1st Term'!B9:AN48,35,FALSE))</f>
        <v>43</v>
      </c>
      <c r="K35" s="38">
        <f t="shared" si="1"/>
        <v>84</v>
      </c>
      <c r="L35" s="32">
        <f t="shared" si="2"/>
        <v>42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18</v>
      </c>
      <c r="H36" s="38">
        <f>VLOOKUP(C8,'2nd Term'!B9:AN48,37,FALSE)</f>
        <v>60</v>
      </c>
      <c r="I36" s="38">
        <f t="shared" si="0"/>
        <v>78</v>
      </c>
      <c r="J36" s="38">
        <f>(VLOOKUP(C8,'1st Term'!B9:AN48,36,FALSE))+(VLOOKUP(C8,'1st Term'!B9:AN48,37,FALSE))</f>
        <v>58</v>
      </c>
      <c r="K36" s="38">
        <f t="shared" si="1"/>
        <v>136</v>
      </c>
      <c r="L36" s="32">
        <f t="shared" si="2"/>
        <v>68</v>
      </c>
      <c r="M36" s="38" t="str">
        <f t="shared" si="3"/>
        <v>C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18</v>
      </c>
      <c r="H37" s="38">
        <f>VLOOKUP(C8,'2nd Term'!B9:AN48,39,FALSE)</f>
        <v>50</v>
      </c>
      <c r="I37" s="38">
        <f t="shared" si="0"/>
        <v>68</v>
      </c>
      <c r="J37" s="38">
        <f>(VLOOKUP(C8,'1st Term'!B9:AN48,38,FALSE))+(VLOOKUP(C8,'1st Term'!B9:AN48,39,FALSE))</f>
        <v>38</v>
      </c>
      <c r="K37" s="38">
        <f t="shared" si="1"/>
        <v>106</v>
      </c>
      <c r="L37" s="32">
        <f t="shared" si="2"/>
        <v>53</v>
      </c>
      <c r="M37" s="38" t="str">
        <f t="shared" si="3"/>
        <v>C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96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tnnxo76Y0ZHNsWEqliK8Cp1HdD56QiacK0F1BPnhbAOkpq2vviH8sJmGEcow/BFW52aNvjLmWSOrOlYY8rDxEg==" saltValue="8T0nyRk8rgKT95DoRLS3Xg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55" priority="1" operator="equal">
      <formula>"F"</formula>
    </cfRule>
    <cfRule type="cellIs" dxfId="54" priority="2" operator="equal">
      <formula>"P"</formula>
    </cfRule>
    <cfRule type="cellIs" dxfId="53" priority="3" operator="equal">
      <formula>"C"</formula>
    </cfRule>
    <cfRule type="cellIs" dxfId="52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0B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B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M51"/>
  <sheetViews>
    <sheetView workbookViewId="0">
      <selection activeCell="I10" sqref="I10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Term'!B18)</f>
        <v>HAMMED OLAMIDE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28.705882352941178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22nd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64"/>
      <c r="L13" s="64"/>
      <c r="M13" s="64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53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52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98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53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5</v>
      </c>
      <c r="I19" s="38">
        <f>SUM(G19:H19)</f>
        <v>33</v>
      </c>
      <c r="J19" s="38">
        <f>(VLOOKUP(C8,'1st Term'!B9:AN48,2,FALSE))+(VLOOKUP(C8,'1st Term'!B9:AN48,3,FALSE))</f>
        <v>33</v>
      </c>
      <c r="K19" s="38">
        <f>SUM(I19:J19)</f>
        <v>66</v>
      </c>
      <c r="L19" s="32">
        <f>K19/2</f>
        <v>33</v>
      </c>
      <c r="M19" s="38" t="str">
        <f>IF(L19&gt;=70,"A",IF(L19&gt;=50,"C",IF(L19&gt;=40,"P","F")))</f>
        <v>F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12</v>
      </c>
      <c r="H20" s="38">
        <f>VLOOKUP(C8,'2nd Term'!B9:AN48,5,FALSE)</f>
        <v>11</v>
      </c>
      <c r="I20" s="38">
        <f t="shared" ref="I20:I37" si="0">SUM(G20:H20)</f>
        <v>23</v>
      </c>
      <c r="J20" s="38">
        <f>(VLOOKUP(C8,'1st Term'!B9:AN48,4,FALSE))+(VLOOKUP(C8,'1st Term'!B9:AN48,5,FALSE))</f>
        <v>22</v>
      </c>
      <c r="K20" s="38">
        <f t="shared" ref="K20:K37" si="1">SUM(I20:J20)</f>
        <v>45</v>
      </c>
      <c r="L20" s="32">
        <f t="shared" ref="L20:L37" si="2">K20/2</f>
        <v>22.5</v>
      </c>
      <c r="M20" s="38" t="str">
        <f t="shared" ref="M20:M37" si="3">IF(L20&gt;=70,"A",IF(L20&gt;=50,"C",IF(L20&gt;=40,"P","F")))</f>
        <v>F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16</v>
      </c>
      <c r="H21" s="38">
        <f>VLOOKUP(C8,'2nd Term'!B9:AN48,7,FALSE)</f>
        <v>13</v>
      </c>
      <c r="I21" s="38">
        <f t="shared" si="0"/>
        <v>29</v>
      </c>
      <c r="J21" s="38">
        <f>(VLOOKUP(C8,'1st Term'!B9:AN48,6,FALSE))+(VLOOKUP(C8,'1st Term'!B9:AN48,7,FALSE))</f>
        <v>31</v>
      </c>
      <c r="K21" s="38">
        <f t="shared" si="1"/>
        <v>60</v>
      </c>
      <c r="L21" s="32">
        <f t="shared" si="2"/>
        <v>30</v>
      </c>
      <c r="M21" s="38" t="str">
        <f t="shared" si="3"/>
        <v>F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14</v>
      </c>
      <c r="H22" s="38">
        <f>VLOOKUP(C8,'2nd Term'!B9:AN48,9,FALSE)</f>
        <v>7</v>
      </c>
      <c r="I22" s="38">
        <f t="shared" si="0"/>
        <v>21</v>
      </c>
      <c r="J22" s="38">
        <f>(VLOOKUP(C8,'1st Term'!B9:AN48,8,FALSE))+(VLOOKUP(C8,'1st Term'!B9:AN48,9,FALSE))</f>
        <v>29</v>
      </c>
      <c r="K22" s="38">
        <f t="shared" si="1"/>
        <v>50</v>
      </c>
      <c r="L22" s="32">
        <f t="shared" si="2"/>
        <v>25</v>
      </c>
      <c r="M22" s="38" t="str">
        <f t="shared" si="3"/>
        <v>F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12</v>
      </c>
      <c r="H23" s="38">
        <f>VLOOKUP(C8,'2nd Term'!B9:AN48,11,FALSE)</f>
        <v>27</v>
      </c>
      <c r="I23" s="38">
        <f t="shared" si="0"/>
        <v>39</v>
      </c>
      <c r="J23" s="38">
        <f>(VLOOKUP(C8,'1st Term'!B9:AN48,10,FALSE))+(VLOOKUP(C8,'1st Term'!B9:AN48,11,FALSE))</f>
        <v>30</v>
      </c>
      <c r="K23" s="38">
        <f t="shared" si="1"/>
        <v>69</v>
      </c>
      <c r="L23" s="32">
        <f t="shared" si="2"/>
        <v>34.5</v>
      </c>
      <c r="M23" s="38" t="str">
        <f t="shared" si="3"/>
        <v>F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10</v>
      </c>
      <c r="H24" s="38">
        <f>VLOOKUP(C8,'2nd Term'!B9:AN48,13,FALSE)</f>
        <v>15</v>
      </c>
      <c r="I24" s="38">
        <f t="shared" si="0"/>
        <v>25</v>
      </c>
      <c r="J24" s="38">
        <f>(VLOOKUP(C8,'1st Term'!B9:AN48,12,FALSE))+(VLOOKUP(C8,'1st Term'!B9:AN48,13,FALSE))</f>
        <v>24</v>
      </c>
      <c r="K24" s="38">
        <f t="shared" si="1"/>
        <v>49</v>
      </c>
      <c r="L24" s="32">
        <f t="shared" si="2"/>
        <v>24.5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18</v>
      </c>
      <c r="H25" s="38">
        <f>VLOOKUP(C8,'2nd Term'!B9:AN48,15,FALSE)</f>
        <v>20</v>
      </c>
      <c r="I25" s="38">
        <f t="shared" si="0"/>
        <v>38</v>
      </c>
      <c r="J25" s="38">
        <f>(VLOOKUP(C8,'1st Term'!B9:AN48,14,FALSE))+(VLOOKUP(C8,'1st Term'!B9:AN48,15,FALSE))</f>
        <v>34</v>
      </c>
      <c r="K25" s="38">
        <f t="shared" si="1"/>
        <v>72</v>
      </c>
      <c r="L25" s="32">
        <f t="shared" si="2"/>
        <v>36</v>
      </c>
      <c r="M25" s="38" t="str">
        <f t="shared" si="3"/>
        <v>F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13</v>
      </c>
      <c r="H26" s="38">
        <f>VLOOKUP(C8,'2nd Term'!B9:AN48,17,FALSE)</f>
        <v>20</v>
      </c>
      <c r="I26" s="38">
        <f t="shared" si="0"/>
        <v>33</v>
      </c>
      <c r="J26" s="38">
        <f>(VLOOKUP(C8,'1st Term'!B9:AN48,16,FALSE))+(VLOOKUP(C8,'1st Term'!B9:AN48,17,FALSE))</f>
        <v>26</v>
      </c>
      <c r="K26" s="38">
        <f t="shared" si="1"/>
        <v>59</v>
      </c>
      <c r="L26" s="32">
        <f t="shared" si="2"/>
        <v>29.5</v>
      </c>
      <c r="M26" s="38" t="str">
        <f t="shared" si="3"/>
        <v>F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11</v>
      </c>
      <c r="H28" s="38">
        <f>VLOOKUP(C8,'2nd Term'!B9:AN48,21,FALSE)</f>
        <v>3</v>
      </c>
      <c r="I28" s="38">
        <f t="shared" si="0"/>
        <v>14</v>
      </c>
      <c r="J28" s="38">
        <f>(VLOOKUP(C8,'1st Term'!B9:AN48,20,FALSE))+(VLOOKUP(C8,'1st Term'!B9:AN48,21,FALSE))</f>
        <v>17</v>
      </c>
      <c r="K28" s="38">
        <f t="shared" si="1"/>
        <v>31</v>
      </c>
      <c r="L28" s="32">
        <f t="shared" si="2"/>
        <v>15.5</v>
      </c>
      <c r="M28" s="38" t="str">
        <f t="shared" si="3"/>
        <v>F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11</v>
      </c>
      <c r="H29" s="38">
        <f>VLOOKUP(C8,'2nd Term'!B9:AN48,23,FALSE)</f>
        <v>14</v>
      </c>
      <c r="I29" s="38">
        <f t="shared" si="0"/>
        <v>25</v>
      </c>
      <c r="J29" s="38">
        <f>(VLOOKUP(C8,'1st Term'!B9:AN48,22,FALSE))+(VLOOKUP(C8,'1st Term'!B9:AN48,23,FALSE))</f>
        <v>18</v>
      </c>
      <c r="K29" s="38">
        <f t="shared" si="1"/>
        <v>43</v>
      </c>
      <c r="L29" s="32">
        <f t="shared" si="2"/>
        <v>21.5</v>
      </c>
      <c r="M29" s="38" t="str">
        <f t="shared" si="3"/>
        <v>F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15</v>
      </c>
      <c r="H30" s="38">
        <f>VLOOKUP(C8,'2nd Term'!B9:AN48,25,FALSE)</f>
        <v>15</v>
      </c>
      <c r="I30" s="38">
        <f t="shared" si="0"/>
        <v>30</v>
      </c>
      <c r="J30" s="38">
        <f>(VLOOKUP(C8,'1st Term'!B9:AN48,24,FALSE))+(VLOOKUP(C8,'1st Term'!B9:AN48,25,FALSE))</f>
        <v>40</v>
      </c>
      <c r="K30" s="38">
        <f t="shared" si="1"/>
        <v>70</v>
      </c>
      <c r="L30" s="32">
        <f t="shared" si="2"/>
        <v>35</v>
      </c>
      <c r="M30" s="38" t="str">
        <f t="shared" si="3"/>
        <v>F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12</v>
      </c>
      <c r="H32" s="38">
        <f>VLOOKUP(C8,'2nd Term'!B9:AN48,29,FALSE)</f>
        <v>3</v>
      </c>
      <c r="I32" s="38">
        <f t="shared" si="0"/>
        <v>15</v>
      </c>
      <c r="J32" s="38">
        <f>(VLOOKUP(C8,'1st Term'!B9:AN48,28,FALSE))+(VLOOKUP(C8,'1st Term'!B9:AN48,29,FALSE))</f>
        <v>13</v>
      </c>
      <c r="K32" s="38">
        <f t="shared" si="1"/>
        <v>28</v>
      </c>
      <c r="L32" s="32">
        <f t="shared" si="2"/>
        <v>14</v>
      </c>
      <c r="M32" s="38" t="str">
        <f t="shared" si="3"/>
        <v>F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25</v>
      </c>
      <c r="H33" s="38">
        <f>VLOOKUP(C8,'2nd Term'!B9:AN48,31,FALSE)</f>
        <v>15</v>
      </c>
      <c r="I33" s="38">
        <f t="shared" si="0"/>
        <v>40</v>
      </c>
      <c r="J33" s="38">
        <f>(VLOOKUP(C8,'1st Term'!B9:AN48,30,FALSE))+(VLOOKUP(C8,'1st Term'!B9:AN48,31,FALSE))</f>
        <v>20</v>
      </c>
      <c r="K33" s="38">
        <f t="shared" si="1"/>
        <v>60</v>
      </c>
      <c r="L33" s="32">
        <f t="shared" si="2"/>
        <v>30</v>
      </c>
      <c r="M33" s="38" t="str">
        <f t="shared" si="3"/>
        <v>F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30</v>
      </c>
      <c r="H34" s="38">
        <f>VLOOKUP(C8,'2nd Term'!B9:AN48,33,FALSE)</f>
        <v>20</v>
      </c>
      <c r="I34" s="38">
        <f t="shared" si="0"/>
        <v>50</v>
      </c>
      <c r="J34" s="38">
        <f>(VLOOKUP(C8,'1st Term'!B9:AN48,32,FALSE))+(VLOOKUP(C8,'1st Term'!B9:AN48,33,FALSE))</f>
        <v>31</v>
      </c>
      <c r="K34" s="38">
        <f t="shared" si="1"/>
        <v>81</v>
      </c>
      <c r="L34" s="32">
        <f t="shared" si="2"/>
        <v>40.5</v>
      </c>
      <c r="M34" s="38" t="str">
        <f t="shared" si="3"/>
        <v>P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23</v>
      </c>
      <c r="H35" s="38">
        <f>VLOOKUP(C8,'2nd Term'!B9:AN48,35,FALSE)</f>
        <v>55</v>
      </c>
      <c r="I35" s="38">
        <f t="shared" si="0"/>
        <v>78</v>
      </c>
      <c r="J35" s="38">
        <f>(VLOOKUP(C8,'1st Term'!B9:AN48,34,FALSE))+(VLOOKUP(C8,'1st Term'!B9:AN48,35,FALSE))</f>
        <v>17</v>
      </c>
      <c r="K35" s="38">
        <f t="shared" si="1"/>
        <v>95</v>
      </c>
      <c r="L35" s="32">
        <f t="shared" si="2"/>
        <v>47.5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14</v>
      </c>
      <c r="H36" s="38">
        <f>VLOOKUP(C8,'2nd Term'!B9:AN48,37,FALSE)</f>
        <v>26</v>
      </c>
      <c r="I36" s="38">
        <f t="shared" si="0"/>
        <v>40</v>
      </c>
      <c r="J36" s="38">
        <f>(VLOOKUP(C8,'1st Term'!B9:AN48,36,FALSE))+(VLOOKUP(C8,'1st Term'!B9:AN48,37,FALSE))</f>
        <v>17</v>
      </c>
      <c r="K36" s="38">
        <f t="shared" si="1"/>
        <v>57</v>
      </c>
      <c r="L36" s="32">
        <f t="shared" si="2"/>
        <v>28.5</v>
      </c>
      <c r="M36" s="38" t="str">
        <f t="shared" si="3"/>
        <v>F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12</v>
      </c>
      <c r="H37" s="38">
        <f>VLOOKUP(C8,'2nd Term'!B9:AN48,39,FALSE)</f>
        <v>19</v>
      </c>
      <c r="I37" s="38">
        <f t="shared" si="0"/>
        <v>31</v>
      </c>
      <c r="J37" s="38">
        <f>(VLOOKUP(C8,'1st Term'!B9:AN48,38,FALSE))+(VLOOKUP(C8,'1st Term'!B9:AN48,39,FALSE))</f>
        <v>10</v>
      </c>
      <c r="K37" s="38">
        <f t="shared" si="1"/>
        <v>41</v>
      </c>
      <c r="L37" s="32">
        <f t="shared" si="2"/>
        <v>20.5</v>
      </c>
      <c r="M37" s="38" t="str">
        <f t="shared" si="3"/>
        <v>F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165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98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x6l/oEchDOiV09V6m9Pq/bSRBPAswiDXiju13r+ggISZ9oFEJtfnLd3G3PKjecKNWflP5QHFgaXjaOPvV5amNQ==" saltValue="CwG+Mjz/McgTznpudNjPcQ==" spinCount="100000" sheet="1" scenarios="1"/>
  <mergeCells count="15"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  <mergeCell ref="I14:I17"/>
    <mergeCell ref="A18:B18"/>
    <mergeCell ref="G43:M43"/>
    <mergeCell ref="A45:M45"/>
    <mergeCell ref="A48:M48"/>
  </mergeCells>
  <conditionalFormatting sqref="M19:M37">
    <cfRule type="cellIs" dxfId="51" priority="1" operator="equal">
      <formula>"F"</formula>
    </cfRule>
    <cfRule type="cellIs" dxfId="50" priority="2" operator="equal">
      <formula>"P"</formula>
    </cfRule>
    <cfRule type="cellIs" dxfId="49" priority="3" operator="equal">
      <formula>"C"</formula>
    </cfRule>
    <cfRule type="cellIs" dxfId="48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0C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C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M51"/>
  <sheetViews>
    <sheetView workbookViewId="0">
      <selection activeCell="B4" sqref="B4:M4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Term'!B19)</f>
        <v>HAMZAT AKOREDE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38.058823529411768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18th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52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52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106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53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52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27</v>
      </c>
      <c r="I19" s="38">
        <f>SUM(G19:H19)</f>
        <v>55</v>
      </c>
      <c r="J19" s="38">
        <f>(VLOOKUP(C8,'1st Term'!B9:AN48,2,FALSE))+(VLOOKUP(C8,'1st Term'!B9:AN48,3,FALSE))</f>
        <v>55</v>
      </c>
      <c r="K19" s="38">
        <f>SUM(I19:J19)</f>
        <v>110</v>
      </c>
      <c r="L19" s="32">
        <f>K19/2</f>
        <v>55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17</v>
      </c>
      <c r="H20" s="38">
        <f>VLOOKUP(C8,'2nd Term'!B9:AN48,5,FALSE)</f>
        <v>42</v>
      </c>
      <c r="I20" s="38">
        <f t="shared" ref="I20:I37" si="0">SUM(G20:H20)</f>
        <v>59</v>
      </c>
      <c r="J20" s="38">
        <f>(VLOOKUP(C8,'1st Term'!B9:AN48,4,FALSE))+(VLOOKUP(C8,'1st Term'!B9:AN48,5,FALSE))</f>
        <v>20</v>
      </c>
      <c r="K20" s="38">
        <f t="shared" ref="K20:K37" si="1">SUM(I20:J20)</f>
        <v>79</v>
      </c>
      <c r="L20" s="32">
        <f t="shared" ref="L20:L37" si="2">K20/2</f>
        <v>39.5</v>
      </c>
      <c r="M20" s="38" t="str">
        <f t="shared" ref="M20:M37" si="3">IF(L20&gt;=70,"A",IF(L20&gt;=50,"C",IF(L20&gt;=40,"P","F")))</f>
        <v>F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15</v>
      </c>
      <c r="H21" s="38">
        <f>VLOOKUP(C8,'2nd Term'!B9:AN48,7,FALSE)</f>
        <v>34</v>
      </c>
      <c r="I21" s="38">
        <f t="shared" si="0"/>
        <v>49</v>
      </c>
      <c r="J21" s="38">
        <f>(VLOOKUP(C8,'1st Term'!B9:AN48,6,FALSE))+(VLOOKUP(C8,'1st Term'!B9:AN48,7,FALSE))</f>
        <v>43</v>
      </c>
      <c r="K21" s="38">
        <f t="shared" si="1"/>
        <v>92</v>
      </c>
      <c r="L21" s="32">
        <f t="shared" si="2"/>
        <v>46</v>
      </c>
      <c r="M21" s="38" t="str">
        <f t="shared" si="3"/>
        <v>P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15</v>
      </c>
      <c r="H22" s="38">
        <f>VLOOKUP(C8,'2nd Term'!B9:AN48,9,FALSE)</f>
        <v>22</v>
      </c>
      <c r="I22" s="38">
        <f t="shared" si="0"/>
        <v>37</v>
      </c>
      <c r="J22" s="38">
        <f>(VLOOKUP(C8,'1st Term'!B9:AN48,8,FALSE))+(VLOOKUP(C8,'1st Term'!B9:AN48,9,FALSE))</f>
        <v>29</v>
      </c>
      <c r="K22" s="38">
        <f t="shared" si="1"/>
        <v>66</v>
      </c>
      <c r="L22" s="32">
        <f t="shared" si="2"/>
        <v>33</v>
      </c>
      <c r="M22" s="38" t="str">
        <f t="shared" si="3"/>
        <v>F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17</v>
      </c>
      <c r="H23" s="38">
        <f>VLOOKUP(C8,'2nd Term'!B9:AN48,11,FALSE)</f>
        <v>33</v>
      </c>
      <c r="I23" s="38">
        <f t="shared" si="0"/>
        <v>50</v>
      </c>
      <c r="J23" s="38">
        <f>(VLOOKUP(C8,'1st Term'!B9:AN48,10,FALSE))+(VLOOKUP(C8,'1st Term'!B9:AN48,11,FALSE))</f>
        <v>40</v>
      </c>
      <c r="K23" s="38">
        <f t="shared" si="1"/>
        <v>90</v>
      </c>
      <c r="L23" s="32">
        <f t="shared" si="2"/>
        <v>45</v>
      </c>
      <c r="M23" s="38" t="str">
        <f t="shared" si="3"/>
        <v>P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14</v>
      </c>
      <c r="H24" s="38">
        <f>VLOOKUP(C8,'2nd Term'!B9:AN48,13,FALSE)</f>
        <v>15</v>
      </c>
      <c r="I24" s="38">
        <f t="shared" si="0"/>
        <v>29</v>
      </c>
      <c r="J24" s="38">
        <f>(VLOOKUP(C8,'1st Term'!B9:AN48,12,FALSE))+(VLOOKUP(C8,'1st Term'!B9:AN48,13,FALSE))</f>
        <v>28</v>
      </c>
      <c r="K24" s="38">
        <f t="shared" si="1"/>
        <v>57</v>
      </c>
      <c r="L24" s="32">
        <f t="shared" si="2"/>
        <v>28.5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24</v>
      </c>
      <c r="H25" s="38">
        <f>VLOOKUP(C8,'2nd Term'!B9:AN48,15,FALSE)</f>
        <v>18</v>
      </c>
      <c r="I25" s="38">
        <f t="shared" si="0"/>
        <v>42</v>
      </c>
      <c r="J25" s="38">
        <f>(VLOOKUP(C8,'1st Term'!B9:AN48,14,FALSE))+(VLOOKUP(C8,'1st Term'!B9:AN48,15,FALSE))</f>
        <v>29</v>
      </c>
      <c r="K25" s="38">
        <f t="shared" si="1"/>
        <v>71</v>
      </c>
      <c r="L25" s="32">
        <f t="shared" si="2"/>
        <v>35.5</v>
      </c>
      <c r="M25" s="38" t="str">
        <f t="shared" si="3"/>
        <v>F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11</v>
      </c>
      <c r="H26" s="38">
        <f>VLOOKUP(C8,'2nd Term'!B9:AN48,17,FALSE)</f>
        <v>20</v>
      </c>
      <c r="I26" s="38">
        <f t="shared" si="0"/>
        <v>31</v>
      </c>
      <c r="J26" s="38">
        <f>(VLOOKUP(C8,'1st Term'!B9:AN48,16,FALSE))+(VLOOKUP(C8,'1st Term'!B9:AN48,17,FALSE))</f>
        <v>33</v>
      </c>
      <c r="K26" s="38">
        <f t="shared" si="1"/>
        <v>64</v>
      </c>
      <c r="L26" s="32">
        <f t="shared" si="2"/>
        <v>32</v>
      </c>
      <c r="M26" s="38" t="str">
        <f t="shared" si="3"/>
        <v>F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14</v>
      </c>
      <c r="H28" s="38">
        <f>VLOOKUP(C8,'2nd Term'!B9:AN48,21,FALSE)</f>
        <v>48</v>
      </c>
      <c r="I28" s="38">
        <f t="shared" si="0"/>
        <v>62</v>
      </c>
      <c r="J28" s="38">
        <f>(VLOOKUP(C8,'1st Term'!B9:AN48,20,FALSE))+(VLOOKUP(C8,'1st Term'!B9:AN48,21,FALSE))</f>
        <v>24</v>
      </c>
      <c r="K28" s="38">
        <f t="shared" si="1"/>
        <v>86</v>
      </c>
      <c r="L28" s="32">
        <f t="shared" si="2"/>
        <v>43</v>
      </c>
      <c r="M28" s="38" t="str">
        <f t="shared" si="3"/>
        <v>P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11</v>
      </c>
      <c r="H29" s="38">
        <f>VLOOKUP(C8,'2nd Term'!B9:AN48,23,FALSE)</f>
        <v>32</v>
      </c>
      <c r="I29" s="38">
        <f t="shared" si="0"/>
        <v>43</v>
      </c>
      <c r="J29" s="38">
        <f>(VLOOKUP(C8,'1st Term'!B9:AN48,22,FALSE))+(VLOOKUP(C8,'1st Term'!B9:AN48,23,FALSE))</f>
        <v>37</v>
      </c>
      <c r="K29" s="38">
        <f t="shared" si="1"/>
        <v>80</v>
      </c>
      <c r="L29" s="32">
        <f t="shared" si="2"/>
        <v>40</v>
      </c>
      <c r="M29" s="38" t="str">
        <f t="shared" si="3"/>
        <v>P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21</v>
      </c>
      <c r="H30" s="38">
        <f>VLOOKUP(C8,'2nd Term'!B9:AN48,25,FALSE)</f>
        <v>20</v>
      </c>
      <c r="I30" s="38">
        <f t="shared" si="0"/>
        <v>41</v>
      </c>
      <c r="J30" s="38">
        <f>(VLOOKUP(C8,'1st Term'!B9:AN48,24,FALSE))+(VLOOKUP(C8,'1st Term'!B9:AN48,25,FALSE))</f>
        <v>45</v>
      </c>
      <c r="K30" s="38">
        <f t="shared" si="1"/>
        <v>86</v>
      </c>
      <c r="L30" s="32">
        <f t="shared" si="2"/>
        <v>43</v>
      </c>
      <c r="M30" s="38" t="str">
        <f t="shared" si="3"/>
        <v>P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16</v>
      </c>
      <c r="H32" s="38">
        <f>VLOOKUP(C8,'2nd Term'!B9:AN48,29,FALSE)</f>
        <v>28</v>
      </c>
      <c r="I32" s="38">
        <f t="shared" si="0"/>
        <v>44</v>
      </c>
      <c r="J32" s="38">
        <f>(VLOOKUP(C8,'1st Term'!B9:AN48,28,FALSE))+(VLOOKUP(C8,'1st Term'!B9:AN48,29,FALSE))</f>
        <v>26</v>
      </c>
      <c r="K32" s="38">
        <f t="shared" si="1"/>
        <v>70</v>
      </c>
      <c r="L32" s="32">
        <f t="shared" si="2"/>
        <v>35</v>
      </c>
      <c r="M32" s="38" t="str">
        <f t="shared" si="3"/>
        <v>F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15</v>
      </c>
      <c r="H33" s="38">
        <f>VLOOKUP(C8,'2nd Term'!B9:AN48,31,FALSE)</f>
        <v>30</v>
      </c>
      <c r="I33" s="38">
        <f t="shared" si="0"/>
        <v>45</v>
      </c>
      <c r="J33" s="38">
        <f>(VLOOKUP(C8,'1st Term'!B9:AN48,30,FALSE))+(VLOOKUP(C8,'1st Term'!B9:AN48,31,FALSE))</f>
        <v>23</v>
      </c>
      <c r="K33" s="38">
        <f t="shared" si="1"/>
        <v>68</v>
      </c>
      <c r="L33" s="32">
        <f t="shared" si="2"/>
        <v>34</v>
      </c>
      <c r="M33" s="38" t="str">
        <f t="shared" si="3"/>
        <v>F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30</v>
      </c>
      <c r="H34" s="38">
        <f>VLOOKUP(C8,'2nd Term'!B9:AN48,33,FALSE)</f>
        <v>13</v>
      </c>
      <c r="I34" s="38">
        <f t="shared" si="0"/>
        <v>43</v>
      </c>
      <c r="J34" s="38">
        <f>(VLOOKUP(C8,'1st Term'!B9:AN48,32,FALSE))+(VLOOKUP(C8,'1st Term'!B9:AN48,33,FALSE))</f>
        <v>37</v>
      </c>
      <c r="K34" s="38">
        <f t="shared" si="1"/>
        <v>80</v>
      </c>
      <c r="L34" s="32">
        <f t="shared" si="2"/>
        <v>40</v>
      </c>
      <c r="M34" s="38" t="str">
        <f t="shared" si="3"/>
        <v>P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11</v>
      </c>
      <c r="H35" s="38">
        <f>VLOOKUP(C8,'2nd Term'!B9:AN48,35,FALSE)</f>
        <v>7</v>
      </c>
      <c r="I35" s="38">
        <f t="shared" si="0"/>
        <v>18</v>
      </c>
      <c r="J35" s="38">
        <f>(VLOOKUP(C8,'1st Term'!B9:AN48,34,FALSE))+(VLOOKUP(C8,'1st Term'!B9:AN48,35,FALSE))</f>
        <v>20</v>
      </c>
      <c r="K35" s="38">
        <f t="shared" si="1"/>
        <v>38</v>
      </c>
      <c r="L35" s="32">
        <f t="shared" si="2"/>
        <v>19</v>
      </c>
      <c r="M35" s="38" t="str">
        <f t="shared" si="3"/>
        <v>F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13</v>
      </c>
      <c r="H36" s="38">
        <f>VLOOKUP(C8,'2nd Term'!B9:AN48,37,FALSE)</f>
        <v>32</v>
      </c>
      <c r="I36" s="38">
        <f t="shared" si="0"/>
        <v>45</v>
      </c>
      <c r="J36" s="38">
        <f>(VLOOKUP(C8,'1st Term'!B9:AN48,36,FALSE))+(VLOOKUP(C8,'1st Term'!B9:AN48,37,FALSE))</f>
        <v>35</v>
      </c>
      <c r="K36" s="38">
        <f t="shared" si="1"/>
        <v>80</v>
      </c>
      <c r="L36" s="32">
        <f t="shared" si="2"/>
        <v>40</v>
      </c>
      <c r="M36" s="38" t="str">
        <f t="shared" si="3"/>
        <v>P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12</v>
      </c>
      <c r="H37" s="38">
        <f>VLOOKUP(C8,'2nd Term'!B9:AN48,39,FALSE)</f>
        <v>19</v>
      </c>
      <c r="I37" s="38">
        <f t="shared" si="0"/>
        <v>31</v>
      </c>
      <c r="J37" s="38">
        <f>(VLOOKUP(C8,'1st Term'!B9:AN48,38,FALSE))+(VLOOKUP(C8,'1st Term'!B9:AN48,39,FALSE))</f>
        <v>46</v>
      </c>
      <c r="K37" s="38">
        <f t="shared" si="1"/>
        <v>77</v>
      </c>
      <c r="L37" s="32">
        <f t="shared" si="2"/>
        <v>38.5</v>
      </c>
      <c r="M37" s="38" t="str">
        <f t="shared" si="3"/>
        <v>F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171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106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6/7Vm1D1YeakfrsWQO3tLFGA5XkErZ24l6R4jB8bDTHX9zYY9g0eQxEz5ekOM/b64t/cqQwM1/OL1PAi9oF+9Q==" saltValue="fXaEvgKzHDtnjyQ7wxnSXw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47" priority="1" operator="equal">
      <formula>"F"</formula>
    </cfRule>
    <cfRule type="cellIs" dxfId="46" priority="2" operator="equal">
      <formula>"P"</formula>
    </cfRule>
    <cfRule type="cellIs" dxfId="45" priority="3" operator="equal">
      <formula>"C"</formula>
    </cfRule>
    <cfRule type="cellIs" dxfId="44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0D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D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M51"/>
  <sheetViews>
    <sheetView workbookViewId="0">
      <selection activeCell="J8" sqref="J8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Term'!B20)</f>
        <v>JAMES DIVINE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18.941176470588236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19th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53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52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0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53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0</v>
      </c>
      <c r="H19" s="38">
        <f>VLOOKUP(C8,'2nd Term'!B9:AN48,3,FALSE)</f>
        <v>0</v>
      </c>
      <c r="I19" s="38">
        <f>SUM(G19:H19)</f>
        <v>0</v>
      </c>
      <c r="J19" s="38">
        <f>(VLOOKUP(C8,'1st Term'!B9:AN48,2,FALSE))+(VLOOKUP(C8,'1st Term'!B9:AN48,3,FALSE))</f>
        <v>56</v>
      </c>
      <c r="K19" s="38">
        <f>SUM(I19:J19)</f>
        <v>56</v>
      </c>
      <c r="L19" s="32">
        <f>K19/2</f>
        <v>28</v>
      </c>
      <c r="M19" s="38" t="str">
        <f>IF(L19&gt;=70,"A",IF(L19&gt;=50,"C",IF(L19&gt;=40,"P","F")))</f>
        <v>F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0</v>
      </c>
      <c r="H20" s="38">
        <f>VLOOKUP(C8,'2nd Term'!B9:AN48,5,FALSE)</f>
        <v>0</v>
      </c>
      <c r="I20" s="38">
        <f t="shared" ref="I20:I37" si="0">SUM(G20:H20)</f>
        <v>0</v>
      </c>
      <c r="J20" s="38">
        <f>(VLOOKUP(C8,'1st Term'!B9:AN48,4,FALSE))+(VLOOKUP(C8,'1st Term'!B9:AN48,5,FALSE))</f>
        <v>33</v>
      </c>
      <c r="K20" s="38">
        <f t="shared" ref="K20:K37" si="1">SUM(I20:J20)</f>
        <v>33</v>
      </c>
      <c r="L20" s="32">
        <f t="shared" ref="L20:L37" si="2">K20/2</f>
        <v>16.5</v>
      </c>
      <c r="M20" s="38" t="str">
        <f t="shared" ref="M20:M37" si="3">IF(L20&gt;=70,"A",IF(L20&gt;=50,"C",IF(L20&gt;=40,"P","F")))</f>
        <v>F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0</v>
      </c>
      <c r="H21" s="38">
        <f>VLOOKUP(C8,'2nd Term'!B9:AN48,7,FALSE)</f>
        <v>0</v>
      </c>
      <c r="I21" s="38">
        <f t="shared" si="0"/>
        <v>0</v>
      </c>
      <c r="J21" s="38">
        <f>(VLOOKUP(C8,'1st Term'!B9:AN48,6,FALSE))+(VLOOKUP(C8,'1st Term'!B9:AN48,7,FALSE))</f>
        <v>34</v>
      </c>
      <c r="K21" s="38">
        <f t="shared" si="1"/>
        <v>34</v>
      </c>
      <c r="L21" s="32">
        <f t="shared" si="2"/>
        <v>17</v>
      </c>
      <c r="M21" s="38" t="str">
        <f t="shared" si="3"/>
        <v>F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0</v>
      </c>
      <c r="H22" s="38">
        <f>VLOOKUP(C8,'2nd Term'!B9:AN48,9,FALSE)</f>
        <v>0</v>
      </c>
      <c r="I22" s="38">
        <f t="shared" si="0"/>
        <v>0</v>
      </c>
      <c r="J22" s="38">
        <f>(VLOOKUP(C8,'1st Term'!B9:AN48,8,FALSE))+(VLOOKUP(C8,'1st Term'!B9:AN48,9,FALSE))</f>
        <v>40</v>
      </c>
      <c r="K22" s="38">
        <f t="shared" si="1"/>
        <v>40</v>
      </c>
      <c r="L22" s="32">
        <f t="shared" si="2"/>
        <v>20</v>
      </c>
      <c r="M22" s="38" t="str">
        <f t="shared" si="3"/>
        <v>F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0</v>
      </c>
      <c r="H23" s="38">
        <f>VLOOKUP(C8,'2nd Term'!B9:AN48,11,FALSE)</f>
        <v>0</v>
      </c>
      <c r="I23" s="38">
        <f t="shared" si="0"/>
        <v>0</v>
      </c>
      <c r="J23" s="38">
        <f>(VLOOKUP(C8,'1st Term'!B9:AN48,10,FALSE))+(VLOOKUP(C8,'1st Term'!B9:AN48,11,FALSE))</f>
        <v>40</v>
      </c>
      <c r="K23" s="38">
        <f t="shared" si="1"/>
        <v>40</v>
      </c>
      <c r="L23" s="32">
        <f t="shared" si="2"/>
        <v>20</v>
      </c>
      <c r="M23" s="38" t="str">
        <f t="shared" si="3"/>
        <v>F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0</v>
      </c>
      <c r="H24" s="38">
        <f>VLOOKUP(C8,'2nd Term'!B9:AN48,13,FALSE)</f>
        <v>0</v>
      </c>
      <c r="I24" s="38">
        <f t="shared" si="0"/>
        <v>0</v>
      </c>
      <c r="J24" s="38">
        <f>(VLOOKUP(C8,'1st Term'!B9:AN48,12,FALSE))+(VLOOKUP(C8,'1st Term'!B9:AN48,13,FALSE))</f>
        <v>31</v>
      </c>
      <c r="K24" s="38">
        <f t="shared" si="1"/>
        <v>31</v>
      </c>
      <c r="L24" s="32">
        <f t="shared" si="2"/>
        <v>15.5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0</v>
      </c>
      <c r="H25" s="38">
        <f>VLOOKUP(C8,'2nd Term'!B9:AN48,15,FALSE)</f>
        <v>0</v>
      </c>
      <c r="I25" s="38">
        <f t="shared" si="0"/>
        <v>0</v>
      </c>
      <c r="J25" s="38">
        <f>(VLOOKUP(C8,'1st Term'!B9:AN48,14,FALSE))+(VLOOKUP(C8,'1st Term'!B9:AN48,15,FALSE))</f>
        <v>42</v>
      </c>
      <c r="K25" s="38">
        <f t="shared" si="1"/>
        <v>42</v>
      </c>
      <c r="L25" s="32">
        <f t="shared" si="2"/>
        <v>21</v>
      </c>
      <c r="M25" s="38" t="str">
        <f t="shared" si="3"/>
        <v>F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0</v>
      </c>
      <c r="H26" s="38">
        <f>VLOOKUP(C8,'2nd Term'!B9:AN48,17,FALSE)</f>
        <v>0</v>
      </c>
      <c r="I26" s="38">
        <f t="shared" si="0"/>
        <v>0</v>
      </c>
      <c r="J26" s="38">
        <f>(VLOOKUP(C8,'1st Term'!B9:AN48,16,FALSE))+(VLOOKUP(C8,'1st Term'!B9:AN48,17,FALSE))</f>
        <v>31</v>
      </c>
      <c r="K26" s="38">
        <f t="shared" si="1"/>
        <v>31</v>
      </c>
      <c r="L26" s="32">
        <f t="shared" si="2"/>
        <v>15.5</v>
      </c>
      <c r="M26" s="38" t="str">
        <f t="shared" si="3"/>
        <v>F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0</v>
      </c>
      <c r="H28" s="38">
        <f>VLOOKUP(C8,'2nd Term'!B9:AN48,21,FALSE)</f>
        <v>0</v>
      </c>
      <c r="I28" s="38">
        <f t="shared" si="0"/>
        <v>0</v>
      </c>
      <c r="J28" s="38">
        <f>(VLOOKUP(C8,'1st Term'!B9:AN48,20,FALSE))+(VLOOKUP(C8,'1st Term'!B9:AN48,21,FALSE))</f>
        <v>20</v>
      </c>
      <c r="K28" s="38">
        <f t="shared" si="1"/>
        <v>20</v>
      </c>
      <c r="L28" s="32">
        <f t="shared" si="2"/>
        <v>10</v>
      </c>
      <c r="M28" s="38" t="str">
        <f t="shared" si="3"/>
        <v>F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0</v>
      </c>
      <c r="H29" s="38">
        <f>VLOOKUP(C8,'2nd Term'!B9:AN48,23,FALSE)</f>
        <v>0</v>
      </c>
      <c r="I29" s="38">
        <f t="shared" si="0"/>
        <v>0</v>
      </c>
      <c r="J29" s="38">
        <f>(VLOOKUP(C8,'1st Term'!B9:AN48,22,FALSE))+(VLOOKUP(C8,'1st Term'!B9:AN48,23,FALSE))</f>
        <v>34</v>
      </c>
      <c r="K29" s="38">
        <f t="shared" si="1"/>
        <v>34</v>
      </c>
      <c r="L29" s="32">
        <f t="shared" si="2"/>
        <v>17</v>
      </c>
      <c r="M29" s="38" t="str">
        <f t="shared" si="3"/>
        <v>F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0</v>
      </c>
      <c r="H30" s="38">
        <f>VLOOKUP(C8,'2nd Term'!B9:AN48,25,FALSE)</f>
        <v>0</v>
      </c>
      <c r="I30" s="38">
        <f t="shared" si="0"/>
        <v>0</v>
      </c>
      <c r="J30" s="38">
        <f>(VLOOKUP(C8,'1st Term'!B9:AN48,24,FALSE))+(VLOOKUP(C8,'1st Term'!B9:AN48,25,FALSE))</f>
        <v>50</v>
      </c>
      <c r="K30" s="38">
        <f t="shared" si="1"/>
        <v>50</v>
      </c>
      <c r="L30" s="32">
        <f t="shared" si="2"/>
        <v>25</v>
      </c>
      <c r="M30" s="38" t="str">
        <f t="shared" si="3"/>
        <v>F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0</v>
      </c>
      <c r="H32" s="38">
        <f>VLOOKUP(C8,'2nd Term'!B9:AN48,29,FALSE)</f>
        <v>0</v>
      </c>
      <c r="I32" s="38">
        <f t="shared" si="0"/>
        <v>0</v>
      </c>
      <c r="J32" s="38">
        <f>(VLOOKUP(C8,'1st Term'!B9:AN48,28,FALSE))+(VLOOKUP(C8,'1st Term'!B9:AN48,29,FALSE))</f>
        <v>37</v>
      </c>
      <c r="K32" s="38">
        <f t="shared" si="1"/>
        <v>37</v>
      </c>
      <c r="L32" s="32">
        <f t="shared" si="2"/>
        <v>18.5</v>
      </c>
      <c r="M32" s="38" t="str">
        <f t="shared" si="3"/>
        <v>F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0</v>
      </c>
      <c r="H33" s="38">
        <f>VLOOKUP(C8,'2nd Term'!B9:AN48,31,FALSE)</f>
        <v>0</v>
      </c>
      <c r="I33" s="38">
        <f t="shared" si="0"/>
        <v>0</v>
      </c>
      <c r="J33" s="38">
        <f>(VLOOKUP(C8,'1st Term'!B9:AN48,30,FALSE))+(VLOOKUP(C8,'1st Term'!B9:AN48,31,FALSE))</f>
        <v>36</v>
      </c>
      <c r="K33" s="38">
        <f t="shared" si="1"/>
        <v>36</v>
      </c>
      <c r="L33" s="32">
        <f t="shared" si="2"/>
        <v>18</v>
      </c>
      <c r="M33" s="38" t="str">
        <f t="shared" si="3"/>
        <v>F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0</v>
      </c>
      <c r="H34" s="38">
        <f>VLOOKUP(C8,'2nd Term'!B9:AN48,33,FALSE)</f>
        <v>0</v>
      </c>
      <c r="I34" s="38">
        <f t="shared" si="0"/>
        <v>0</v>
      </c>
      <c r="J34" s="38">
        <f>(VLOOKUP(C8,'1st Term'!B9:AN48,32,FALSE))+(VLOOKUP(C8,'1st Term'!B9:AN48,33,FALSE))</f>
        <v>40</v>
      </c>
      <c r="K34" s="38">
        <f t="shared" si="1"/>
        <v>40</v>
      </c>
      <c r="L34" s="32">
        <f t="shared" si="2"/>
        <v>20</v>
      </c>
      <c r="M34" s="38" t="str">
        <f t="shared" si="3"/>
        <v>F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0</v>
      </c>
      <c r="H35" s="38">
        <f>VLOOKUP(C8,'2nd Term'!B9:AN48,35,FALSE)</f>
        <v>0</v>
      </c>
      <c r="I35" s="38">
        <f t="shared" si="0"/>
        <v>0</v>
      </c>
      <c r="J35" s="38">
        <f>(VLOOKUP(C8,'1st Term'!B9:AN48,34,FALSE))+(VLOOKUP(C8,'1st Term'!B9:AN48,35,FALSE))</f>
        <v>23</v>
      </c>
      <c r="K35" s="38">
        <f t="shared" si="1"/>
        <v>23</v>
      </c>
      <c r="L35" s="32">
        <f t="shared" si="2"/>
        <v>11.5</v>
      </c>
      <c r="M35" s="38" t="str">
        <f t="shared" si="3"/>
        <v>F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0</v>
      </c>
      <c r="H36" s="38">
        <f>VLOOKUP(C8,'2nd Term'!B9:AN48,37,FALSE)</f>
        <v>0</v>
      </c>
      <c r="I36" s="38">
        <f t="shared" si="0"/>
        <v>0</v>
      </c>
      <c r="J36" s="38">
        <f>(VLOOKUP(C8,'1st Term'!B9:AN48,36,FALSE))+(VLOOKUP(C8,'1st Term'!B9:AN48,37,FALSE))</f>
        <v>45</v>
      </c>
      <c r="K36" s="38">
        <f t="shared" si="1"/>
        <v>45</v>
      </c>
      <c r="L36" s="32">
        <f t="shared" si="2"/>
        <v>22.5</v>
      </c>
      <c r="M36" s="38" t="str">
        <f t="shared" si="3"/>
        <v>F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0</v>
      </c>
      <c r="H37" s="38">
        <f>VLOOKUP(C8,'2nd Term'!B9:AN48,39,FALSE)</f>
        <v>0</v>
      </c>
      <c r="I37" s="38">
        <f t="shared" si="0"/>
        <v>0</v>
      </c>
      <c r="J37" s="38">
        <f>(VLOOKUP(C8,'1st Term'!B9:AN48,38,FALSE))+(VLOOKUP(C8,'1st Term'!B9:AN48,39,FALSE))</f>
        <v>52</v>
      </c>
      <c r="K37" s="38">
        <f t="shared" si="1"/>
        <v>52</v>
      </c>
      <c r="L37" s="32">
        <f t="shared" si="2"/>
        <v>26</v>
      </c>
      <c r="M37" s="38" t="str">
        <f t="shared" si="3"/>
        <v>F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106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bixqi8mXZGxrbAwwI+s6eiB8rmJbwGF5gYEedFjmG4aqTPBPYX5dAo0rqRl5cDxtNyFPjWw6gl22AMFVJyqyBg==" saltValue="vrj3hQDpLAi2UoIaAO2d9A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43" priority="1" operator="equal">
      <formula>"F"</formula>
    </cfRule>
    <cfRule type="cellIs" dxfId="42" priority="2" operator="equal">
      <formula>"P"</formula>
    </cfRule>
    <cfRule type="cellIs" dxfId="41" priority="3" operator="equal">
      <formula>"C"</formula>
    </cfRule>
    <cfRule type="cellIs" dxfId="40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0E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E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M51"/>
  <sheetViews>
    <sheetView workbookViewId="0">
      <selection activeCell="A8" sqref="A8:B8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Term'!B21)</f>
        <v>JOEL JOSHUA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52.470588235294116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14th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55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106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36</v>
      </c>
      <c r="I19" s="38">
        <f>SUM(G19:H19)</f>
        <v>64</v>
      </c>
      <c r="J19" s="38">
        <f>(VLOOKUP(C8,'1st Term'!B9:AN48,2,FALSE))+(VLOOKUP(C8,'1st Term'!B9:AN48,3,FALSE))</f>
        <v>64</v>
      </c>
      <c r="K19" s="38">
        <f>SUM(I19:J19)</f>
        <v>128</v>
      </c>
      <c r="L19" s="32">
        <f>K19/2</f>
        <v>64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22</v>
      </c>
      <c r="H20" s="38">
        <f>VLOOKUP(C8,'2nd Term'!B9:AN48,5,FALSE)</f>
        <v>53</v>
      </c>
      <c r="I20" s="38">
        <f t="shared" ref="I20:I37" si="0">SUM(G20:H20)</f>
        <v>75</v>
      </c>
      <c r="J20" s="38">
        <f>(VLOOKUP(C8,'1st Term'!B9:AN48,4,FALSE))+(VLOOKUP(C8,'1st Term'!B9:AN48,5,FALSE))</f>
        <v>59</v>
      </c>
      <c r="K20" s="38">
        <f t="shared" ref="K20:K37" si="1">SUM(I20:J20)</f>
        <v>134</v>
      </c>
      <c r="L20" s="32">
        <f t="shared" ref="L20:L37" si="2">K20/2</f>
        <v>67</v>
      </c>
      <c r="M20" s="38" t="str">
        <f t="shared" ref="M20:M37" si="3">IF(L20&gt;=70,"A",IF(L20&gt;=50,"C",IF(L20&gt;=40,"P","F")))</f>
        <v>C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27</v>
      </c>
      <c r="H21" s="38">
        <f>VLOOKUP(C8,'2nd Term'!B9:AN48,7,FALSE)</f>
        <v>46</v>
      </c>
      <c r="I21" s="38">
        <f t="shared" si="0"/>
        <v>73</v>
      </c>
      <c r="J21" s="38">
        <f>(VLOOKUP(C8,'1st Term'!B9:AN48,6,FALSE))+(VLOOKUP(C8,'1st Term'!B9:AN48,7,FALSE))</f>
        <v>41</v>
      </c>
      <c r="K21" s="38">
        <f t="shared" si="1"/>
        <v>114</v>
      </c>
      <c r="L21" s="32">
        <f t="shared" si="2"/>
        <v>57</v>
      </c>
      <c r="M21" s="38" t="str">
        <f t="shared" si="3"/>
        <v>C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15</v>
      </c>
      <c r="H22" s="38">
        <f>VLOOKUP(C8,'2nd Term'!B9:AN48,9,FALSE)</f>
        <v>22</v>
      </c>
      <c r="I22" s="38">
        <f t="shared" si="0"/>
        <v>37</v>
      </c>
      <c r="J22" s="38">
        <f>(VLOOKUP(C8,'1st Term'!B9:AN48,8,FALSE))+(VLOOKUP(C8,'1st Term'!B9:AN48,9,FALSE))</f>
        <v>49</v>
      </c>
      <c r="K22" s="38">
        <f t="shared" si="1"/>
        <v>86</v>
      </c>
      <c r="L22" s="32">
        <f t="shared" si="2"/>
        <v>43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17</v>
      </c>
      <c r="H23" s="38">
        <f>VLOOKUP(C8,'2nd Term'!B9:AN48,11,FALSE)</f>
        <v>32</v>
      </c>
      <c r="I23" s="38">
        <f t="shared" si="0"/>
        <v>49</v>
      </c>
      <c r="J23" s="38">
        <f>(VLOOKUP(C8,'1st Term'!B9:AN48,10,FALSE))+(VLOOKUP(C8,'1st Term'!B9:AN48,11,FALSE))</f>
        <v>82</v>
      </c>
      <c r="K23" s="38">
        <f t="shared" si="1"/>
        <v>131</v>
      </c>
      <c r="L23" s="32">
        <f t="shared" si="2"/>
        <v>65.5</v>
      </c>
      <c r="M23" s="38" t="str">
        <f t="shared" si="3"/>
        <v>C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14</v>
      </c>
      <c r="H24" s="38">
        <f>VLOOKUP(C8,'2nd Term'!B9:AN48,13,FALSE)</f>
        <v>21</v>
      </c>
      <c r="I24" s="38">
        <f t="shared" si="0"/>
        <v>35</v>
      </c>
      <c r="J24" s="38">
        <f>(VLOOKUP(C8,'1st Term'!B9:AN48,12,FALSE))+(VLOOKUP(C8,'1st Term'!B9:AN48,13,FALSE))</f>
        <v>32</v>
      </c>
      <c r="K24" s="38">
        <f t="shared" si="1"/>
        <v>67</v>
      </c>
      <c r="L24" s="32">
        <f t="shared" si="2"/>
        <v>33.5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24</v>
      </c>
      <c r="H25" s="38">
        <f>VLOOKUP(C8,'2nd Term'!B9:AN48,15,FALSE)</f>
        <v>34</v>
      </c>
      <c r="I25" s="38">
        <f t="shared" si="0"/>
        <v>58</v>
      </c>
      <c r="J25" s="38">
        <f>(VLOOKUP(C8,'1st Term'!B9:AN48,14,FALSE))+(VLOOKUP(C8,'1st Term'!B9:AN48,15,FALSE))</f>
        <v>65</v>
      </c>
      <c r="K25" s="38">
        <f t="shared" si="1"/>
        <v>123</v>
      </c>
      <c r="L25" s="32">
        <f t="shared" si="2"/>
        <v>61.5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21</v>
      </c>
      <c r="H26" s="38">
        <f>VLOOKUP(C8,'2nd Term'!B9:AN48,17,FALSE)</f>
        <v>45</v>
      </c>
      <c r="I26" s="38">
        <f t="shared" si="0"/>
        <v>66</v>
      </c>
      <c r="J26" s="38">
        <f>(VLOOKUP(C8,'1st Term'!B9:AN48,16,FALSE))+(VLOOKUP(C8,'1st Term'!B9:AN48,17,FALSE))</f>
        <v>32</v>
      </c>
      <c r="K26" s="38">
        <f t="shared" si="1"/>
        <v>98</v>
      </c>
      <c r="L26" s="32">
        <f t="shared" si="2"/>
        <v>49</v>
      </c>
      <c r="M26" s="38" t="str">
        <f t="shared" si="3"/>
        <v>P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18</v>
      </c>
      <c r="H28" s="38">
        <f>VLOOKUP(C8,'2nd Term'!B9:AN48,21,FALSE)</f>
        <v>52</v>
      </c>
      <c r="I28" s="38">
        <f t="shared" si="0"/>
        <v>70</v>
      </c>
      <c r="J28" s="38">
        <f>(VLOOKUP(C8,'1st Term'!B9:AN48,20,FALSE))+(VLOOKUP(C8,'1st Term'!B9:AN48,21,FALSE))</f>
        <v>40</v>
      </c>
      <c r="K28" s="38">
        <f t="shared" si="1"/>
        <v>110</v>
      </c>
      <c r="L28" s="32">
        <f t="shared" si="2"/>
        <v>55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19</v>
      </c>
      <c r="H29" s="38">
        <f>VLOOKUP(C8,'2nd Term'!B9:AN48,23,FALSE)</f>
        <v>36</v>
      </c>
      <c r="I29" s="38">
        <f t="shared" si="0"/>
        <v>55</v>
      </c>
      <c r="J29" s="38">
        <f>(VLOOKUP(C8,'1st Term'!B9:AN48,22,FALSE))+(VLOOKUP(C8,'1st Term'!B9:AN48,23,FALSE))</f>
        <v>58</v>
      </c>
      <c r="K29" s="38">
        <f t="shared" si="1"/>
        <v>113</v>
      </c>
      <c r="L29" s="32">
        <f t="shared" si="2"/>
        <v>56.5</v>
      </c>
      <c r="M29" s="38" t="str">
        <f t="shared" si="3"/>
        <v>C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20</v>
      </c>
      <c r="H30" s="38">
        <f>VLOOKUP(C8,'2nd Term'!B9:AN48,25,FALSE)</f>
        <v>30</v>
      </c>
      <c r="I30" s="38">
        <f t="shared" si="0"/>
        <v>50</v>
      </c>
      <c r="J30" s="38">
        <f>(VLOOKUP(C8,'1st Term'!B9:AN48,24,FALSE))+(VLOOKUP(C8,'1st Term'!B9:AN48,25,FALSE))</f>
        <v>60</v>
      </c>
      <c r="K30" s="38">
        <f t="shared" si="1"/>
        <v>110</v>
      </c>
      <c r="L30" s="32">
        <f t="shared" si="2"/>
        <v>55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22</v>
      </c>
      <c r="H32" s="38">
        <f>VLOOKUP(C8,'2nd Term'!B9:AN48,29,FALSE)</f>
        <v>22</v>
      </c>
      <c r="I32" s="38">
        <f t="shared" si="0"/>
        <v>44</v>
      </c>
      <c r="J32" s="38">
        <f>(VLOOKUP(C8,'1st Term'!B9:AN48,28,FALSE))+(VLOOKUP(C8,'1st Term'!B9:AN48,29,FALSE))</f>
        <v>53</v>
      </c>
      <c r="K32" s="38">
        <f t="shared" si="1"/>
        <v>97</v>
      </c>
      <c r="L32" s="32">
        <f t="shared" si="2"/>
        <v>48.5</v>
      </c>
      <c r="M32" s="38" t="str">
        <f t="shared" si="3"/>
        <v>P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20</v>
      </c>
      <c r="H33" s="38">
        <f>VLOOKUP(C8,'2nd Term'!B9:AN48,31,FALSE)</f>
        <v>16</v>
      </c>
      <c r="I33" s="38">
        <f t="shared" si="0"/>
        <v>36</v>
      </c>
      <c r="J33" s="38">
        <f>(VLOOKUP(C8,'1st Term'!B9:AN48,30,FALSE))+(VLOOKUP(C8,'1st Term'!B9:AN48,31,FALSE))</f>
        <v>54</v>
      </c>
      <c r="K33" s="38">
        <f t="shared" si="1"/>
        <v>90</v>
      </c>
      <c r="L33" s="32">
        <f t="shared" si="2"/>
        <v>45</v>
      </c>
      <c r="M33" s="38" t="str">
        <f t="shared" si="3"/>
        <v>P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29</v>
      </c>
      <c r="H34" s="38">
        <f>VLOOKUP(C8,'2nd Term'!B9:AN48,33,FALSE)</f>
        <v>22</v>
      </c>
      <c r="I34" s="38">
        <f t="shared" si="0"/>
        <v>51</v>
      </c>
      <c r="J34" s="38">
        <f>(VLOOKUP(C8,'1st Term'!B9:AN48,32,FALSE))+(VLOOKUP(C8,'1st Term'!B9:AN48,33,FALSE))</f>
        <v>51</v>
      </c>
      <c r="K34" s="38">
        <f t="shared" si="1"/>
        <v>102</v>
      </c>
      <c r="L34" s="32">
        <f t="shared" si="2"/>
        <v>51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22</v>
      </c>
      <c r="H35" s="38">
        <f>VLOOKUP(C8,'2nd Term'!B9:AN48,35,FALSE)</f>
        <v>37</v>
      </c>
      <c r="I35" s="38">
        <f t="shared" si="0"/>
        <v>59</v>
      </c>
      <c r="J35" s="38">
        <f>(VLOOKUP(C8,'1st Term'!B9:AN48,34,FALSE))+(VLOOKUP(C8,'1st Term'!B9:AN48,35,FALSE))</f>
        <v>31</v>
      </c>
      <c r="K35" s="38">
        <f t="shared" si="1"/>
        <v>90</v>
      </c>
      <c r="L35" s="32">
        <f t="shared" si="2"/>
        <v>45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17</v>
      </c>
      <c r="H36" s="38">
        <f>VLOOKUP(C8,'2nd Term'!B9:AN48,37,FALSE)</f>
        <v>29</v>
      </c>
      <c r="I36" s="38">
        <f t="shared" si="0"/>
        <v>46</v>
      </c>
      <c r="J36" s="38">
        <f>(VLOOKUP(C8,'1st Term'!B9:AN48,36,FALSE))+(VLOOKUP(C8,'1st Term'!B9:AN48,37,FALSE))</f>
        <v>48</v>
      </c>
      <c r="K36" s="38">
        <f t="shared" si="1"/>
        <v>94</v>
      </c>
      <c r="L36" s="32">
        <f t="shared" si="2"/>
        <v>47</v>
      </c>
      <c r="M36" s="38" t="str">
        <f t="shared" si="3"/>
        <v>P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13</v>
      </c>
      <c r="H37" s="38">
        <f>VLOOKUP(C8,'2nd Term'!B9:AN48,39,FALSE)</f>
        <v>30</v>
      </c>
      <c r="I37" s="38">
        <f t="shared" si="0"/>
        <v>43</v>
      </c>
      <c r="J37" s="38">
        <f>(VLOOKUP(C8,'1st Term'!B9:AN48,38,FALSE))+(VLOOKUP(C8,'1st Term'!B9:AN48,39,FALSE))</f>
        <v>54</v>
      </c>
      <c r="K37" s="38">
        <f t="shared" si="1"/>
        <v>97</v>
      </c>
      <c r="L37" s="32">
        <f t="shared" si="2"/>
        <v>48.5</v>
      </c>
      <c r="M37" s="38" t="str">
        <f t="shared" si="3"/>
        <v>P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171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101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/TB5B1EAqNYq3AN2Vy+lD9HV1OGvXx9+PWQ6c6NE85k4lKJkNlhR8tqh32UXsONXgJGUdSlHN/ttkRLX7KF8nw==" saltValue="zx9mC8wuZmSMKdwbE6bu6Q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39" priority="1" operator="equal">
      <formula>"F"</formula>
    </cfRule>
    <cfRule type="cellIs" dxfId="38" priority="2" operator="equal">
      <formula>"P"</formula>
    </cfRule>
    <cfRule type="cellIs" dxfId="37" priority="3" operator="equal">
      <formula>"C"</formula>
    </cfRule>
    <cfRule type="cellIs" dxfId="36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0F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0F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M51"/>
  <sheetViews>
    <sheetView workbookViewId="0">
      <selection activeCell="B4" sqref="B4:M4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Term'!B22)</f>
        <v>JOSIAH SUNDAY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52.647058823529413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12th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104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55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51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36</v>
      </c>
      <c r="I19" s="38">
        <f>SUM(G19:H19)</f>
        <v>64</v>
      </c>
      <c r="J19" s="38">
        <f>(VLOOKUP(C8,'1st Term'!B9:AN48,2,FALSE))+(VLOOKUP(C8,'1st Term'!B9:AN48,3,FALSE))</f>
        <v>64</v>
      </c>
      <c r="K19" s="38">
        <f>SUM(I19:J19)</f>
        <v>128</v>
      </c>
      <c r="L19" s="32">
        <f>K19/2</f>
        <v>64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25</v>
      </c>
      <c r="H20" s="38">
        <f>VLOOKUP(C8,'2nd Term'!B9:AN48,5,FALSE)</f>
        <v>38</v>
      </c>
      <c r="I20" s="38">
        <f t="shared" ref="I20:I37" si="0">SUM(G20:H20)</f>
        <v>63</v>
      </c>
      <c r="J20" s="38">
        <f>(VLOOKUP(C8,'1st Term'!B9:AN48,4,FALSE))+(VLOOKUP(C8,'1st Term'!B9:AN48,5,FALSE))</f>
        <v>83</v>
      </c>
      <c r="K20" s="38">
        <f t="shared" ref="K20:K37" si="1">SUM(I20:J20)</f>
        <v>146</v>
      </c>
      <c r="L20" s="32">
        <f t="shared" ref="L20:L37" si="2">K20/2</f>
        <v>73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30</v>
      </c>
      <c r="H21" s="38">
        <f>VLOOKUP(C8,'2nd Term'!B9:AN48,7,FALSE)</f>
        <v>36</v>
      </c>
      <c r="I21" s="38">
        <f t="shared" si="0"/>
        <v>66</v>
      </c>
      <c r="J21" s="38">
        <f>(VLOOKUP(C8,'1st Term'!B9:AN48,6,FALSE))+(VLOOKUP(C8,'1st Term'!B9:AN48,7,FALSE))</f>
        <v>54</v>
      </c>
      <c r="K21" s="38">
        <f t="shared" si="1"/>
        <v>120</v>
      </c>
      <c r="L21" s="32">
        <f t="shared" si="2"/>
        <v>60</v>
      </c>
      <c r="M21" s="38" t="str">
        <f t="shared" si="3"/>
        <v>C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15</v>
      </c>
      <c r="H22" s="38">
        <f>VLOOKUP(C8,'2nd Term'!B9:AN48,9,FALSE)</f>
        <v>25</v>
      </c>
      <c r="I22" s="38">
        <f t="shared" si="0"/>
        <v>40</v>
      </c>
      <c r="J22" s="38">
        <f>(VLOOKUP(C8,'1st Term'!B9:AN48,8,FALSE))+(VLOOKUP(C8,'1st Term'!B9:AN48,9,FALSE))</f>
        <v>47</v>
      </c>
      <c r="K22" s="38">
        <f t="shared" si="1"/>
        <v>87</v>
      </c>
      <c r="L22" s="32">
        <f t="shared" si="2"/>
        <v>43.5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24</v>
      </c>
      <c r="H23" s="38">
        <f>VLOOKUP(C8,'2nd Term'!B9:AN48,11,FALSE)</f>
        <v>24</v>
      </c>
      <c r="I23" s="38">
        <f t="shared" si="0"/>
        <v>48</v>
      </c>
      <c r="J23" s="38">
        <f>(VLOOKUP(C8,'1st Term'!B9:AN48,10,FALSE))+(VLOOKUP(C8,'1st Term'!B9:AN48,11,FALSE))</f>
        <v>55</v>
      </c>
      <c r="K23" s="38">
        <f t="shared" si="1"/>
        <v>103</v>
      </c>
      <c r="L23" s="32">
        <f t="shared" si="2"/>
        <v>51.5</v>
      </c>
      <c r="M23" s="38" t="str">
        <f t="shared" si="3"/>
        <v>C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14</v>
      </c>
      <c r="H24" s="38">
        <f>VLOOKUP(C8,'2nd Term'!B9:AN48,13,FALSE)</f>
        <v>21</v>
      </c>
      <c r="I24" s="38">
        <f t="shared" si="0"/>
        <v>35</v>
      </c>
      <c r="J24" s="38">
        <f>(VLOOKUP(C8,'1st Term'!B9:AN48,12,FALSE))+(VLOOKUP(C8,'1st Term'!B9:AN48,13,FALSE))</f>
        <v>30</v>
      </c>
      <c r="K24" s="38">
        <f t="shared" si="1"/>
        <v>65</v>
      </c>
      <c r="L24" s="32">
        <f t="shared" si="2"/>
        <v>32.5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20</v>
      </c>
      <c r="H25" s="38">
        <f>VLOOKUP(C8,'2nd Term'!B9:AN48,15,FALSE)</f>
        <v>33</v>
      </c>
      <c r="I25" s="38">
        <f t="shared" si="0"/>
        <v>53</v>
      </c>
      <c r="J25" s="38">
        <f>(VLOOKUP(C8,'1st Term'!B9:AN48,14,FALSE))+(VLOOKUP(C8,'1st Term'!B9:AN48,15,FALSE))</f>
        <v>50</v>
      </c>
      <c r="K25" s="38">
        <f t="shared" si="1"/>
        <v>103</v>
      </c>
      <c r="L25" s="32">
        <f t="shared" si="2"/>
        <v>51.5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20</v>
      </c>
      <c r="H26" s="38">
        <f>VLOOKUP(C8,'2nd Term'!B9:AN48,17,FALSE)</f>
        <v>35</v>
      </c>
      <c r="I26" s="38">
        <f t="shared" si="0"/>
        <v>55</v>
      </c>
      <c r="J26" s="38">
        <f>(VLOOKUP(C8,'1st Term'!B9:AN48,16,FALSE))+(VLOOKUP(C8,'1st Term'!B9:AN48,17,FALSE))</f>
        <v>43</v>
      </c>
      <c r="K26" s="38">
        <f t="shared" si="1"/>
        <v>98</v>
      </c>
      <c r="L26" s="32">
        <f t="shared" si="2"/>
        <v>49</v>
      </c>
      <c r="M26" s="38" t="str">
        <f t="shared" si="3"/>
        <v>P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19</v>
      </c>
      <c r="H28" s="38">
        <f>VLOOKUP(C8,'2nd Term'!B9:AN48,21,FALSE)</f>
        <v>50</v>
      </c>
      <c r="I28" s="38">
        <f t="shared" si="0"/>
        <v>69</v>
      </c>
      <c r="J28" s="38">
        <f>(VLOOKUP(C8,'1st Term'!B9:AN48,20,FALSE))+(VLOOKUP(C8,'1st Term'!B9:AN48,21,FALSE))</f>
        <v>32</v>
      </c>
      <c r="K28" s="38">
        <f t="shared" si="1"/>
        <v>101</v>
      </c>
      <c r="L28" s="32">
        <f t="shared" si="2"/>
        <v>50.5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24</v>
      </c>
      <c r="H29" s="38">
        <f>VLOOKUP(C8,'2nd Term'!B9:AN48,23,FALSE)</f>
        <v>27</v>
      </c>
      <c r="I29" s="38">
        <f t="shared" si="0"/>
        <v>51</v>
      </c>
      <c r="J29" s="38">
        <f>(VLOOKUP(C8,'1st Term'!B9:AN48,22,FALSE))+(VLOOKUP(C8,'1st Term'!B9:AN48,23,FALSE))</f>
        <v>60</v>
      </c>
      <c r="K29" s="38">
        <f t="shared" si="1"/>
        <v>111</v>
      </c>
      <c r="L29" s="32">
        <f t="shared" si="2"/>
        <v>55.5</v>
      </c>
      <c r="M29" s="38" t="str">
        <f t="shared" si="3"/>
        <v>C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20</v>
      </c>
      <c r="H30" s="38">
        <f>VLOOKUP(C8,'2nd Term'!B9:AN48,25,FALSE)</f>
        <v>30</v>
      </c>
      <c r="I30" s="38">
        <f t="shared" si="0"/>
        <v>50</v>
      </c>
      <c r="J30" s="38">
        <f>(VLOOKUP(C8,'1st Term'!B9:AN48,24,FALSE))+(VLOOKUP(C8,'1st Term'!B9:AN48,25,FALSE))</f>
        <v>56</v>
      </c>
      <c r="K30" s="38">
        <f t="shared" si="1"/>
        <v>106</v>
      </c>
      <c r="L30" s="32">
        <f t="shared" si="2"/>
        <v>53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22</v>
      </c>
      <c r="H32" s="38">
        <f>VLOOKUP(C8,'2nd Term'!B9:AN48,29,FALSE)</f>
        <v>21</v>
      </c>
      <c r="I32" s="38">
        <f t="shared" si="0"/>
        <v>43</v>
      </c>
      <c r="J32" s="38">
        <f>(VLOOKUP(C8,'1st Term'!B9:AN48,28,FALSE))+(VLOOKUP(C8,'1st Term'!B9:AN48,29,FALSE))</f>
        <v>40</v>
      </c>
      <c r="K32" s="38">
        <f t="shared" si="1"/>
        <v>83</v>
      </c>
      <c r="L32" s="32">
        <f t="shared" si="2"/>
        <v>41.5</v>
      </c>
      <c r="M32" s="38" t="str">
        <f t="shared" si="3"/>
        <v>P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30</v>
      </c>
      <c r="H33" s="38">
        <f>VLOOKUP(C8,'2nd Term'!B9:AN48,31,FALSE)</f>
        <v>60</v>
      </c>
      <c r="I33" s="38">
        <f t="shared" si="0"/>
        <v>90</v>
      </c>
      <c r="J33" s="38">
        <f>(VLOOKUP(C8,'1st Term'!B9:AN48,30,FALSE))+(VLOOKUP(C8,'1st Term'!B9:AN48,31,FALSE))</f>
        <v>59</v>
      </c>
      <c r="K33" s="38">
        <f t="shared" si="1"/>
        <v>149</v>
      </c>
      <c r="L33" s="32">
        <f t="shared" si="2"/>
        <v>74.5</v>
      </c>
      <c r="M33" s="38" t="str">
        <f t="shared" si="3"/>
        <v>A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28</v>
      </c>
      <c r="H34" s="38">
        <f>VLOOKUP(C8,'2nd Term'!B9:AN48,33,FALSE)</f>
        <v>18</v>
      </c>
      <c r="I34" s="38">
        <f t="shared" si="0"/>
        <v>46</v>
      </c>
      <c r="J34" s="38">
        <f>(VLOOKUP(C8,'1st Term'!B9:AN48,32,FALSE))+(VLOOKUP(C8,'1st Term'!B9:AN48,33,FALSE))</f>
        <v>46</v>
      </c>
      <c r="K34" s="38">
        <f t="shared" si="1"/>
        <v>92</v>
      </c>
      <c r="L34" s="32">
        <f t="shared" si="2"/>
        <v>46</v>
      </c>
      <c r="M34" s="38" t="str">
        <f t="shared" si="3"/>
        <v>P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19</v>
      </c>
      <c r="H35" s="38">
        <f>VLOOKUP(C8,'2nd Term'!B9:AN48,35,FALSE)</f>
        <v>37</v>
      </c>
      <c r="I35" s="38">
        <f t="shared" si="0"/>
        <v>56</v>
      </c>
      <c r="J35" s="38">
        <f>(VLOOKUP(C8,'1st Term'!B9:AN48,34,FALSE))+(VLOOKUP(C8,'1st Term'!B9:AN48,35,FALSE))</f>
        <v>32</v>
      </c>
      <c r="K35" s="38">
        <f t="shared" si="1"/>
        <v>88</v>
      </c>
      <c r="L35" s="32">
        <f t="shared" si="2"/>
        <v>44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17</v>
      </c>
      <c r="H36" s="38">
        <f>VLOOKUP(C8,'2nd Term'!B9:AN48,37,FALSE)</f>
        <v>33</v>
      </c>
      <c r="I36" s="38">
        <f t="shared" si="0"/>
        <v>50</v>
      </c>
      <c r="J36" s="38">
        <f>(VLOOKUP(C8,'1st Term'!B9:AN48,36,FALSE))+(VLOOKUP(C8,'1st Term'!B9:AN48,37,FALSE))</f>
        <v>40</v>
      </c>
      <c r="K36" s="38">
        <f t="shared" si="1"/>
        <v>90</v>
      </c>
      <c r="L36" s="32">
        <f t="shared" si="2"/>
        <v>45</v>
      </c>
      <c r="M36" s="38" t="str">
        <f t="shared" si="3"/>
        <v>P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24</v>
      </c>
      <c r="H37" s="38">
        <f>VLOOKUP(C8,'2nd Term'!B9:AN48,39,FALSE)</f>
        <v>34</v>
      </c>
      <c r="I37" s="38">
        <f t="shared" si="0"/>
        <v>58</v>
      </c>
      <c r="J37" s="38">
        <f>(VLOOKUP(C8,'1st Term'!B9:AN48,38,FALSE))+(VLOOKUP(C8,'1st Term'!B9:AN48,39,FALSE))</f>
        <v>62</v>
      </c>
      <c r="K37" s="38">
        <f t="shared" si="1"/>
        <v>120</v>
      </c>
      <c r="L37" s="32">
        <f t="shared" si="2"/>
        <v>60</v>
      </c>
      <c r="M37" s="38" t="str">
        <f t="shared" si="3"/>
        <v>C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169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94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g7GdOVLqb4c+L9zibUy6fG078dp83YlhANzRWD6NDrSnM+LMaSbvobr7CERKFS8ZstZlTFagJcG8n0UzamhCYA==" saltValue="jDZxb8wvKAtA1fBEKw5iKQ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35" priority="1" operator="equal">
      <formula>"F"</formula>
    </cfRule>
    <cfRule type="cellIs" dxfId="34" priority="2" operator="equal">
      <formula>"P"</formula>
    </cfRule>
    <cfRule type="cellIs" dxfId="33" priority="3" operator="equal">
      <formula>"C"</formula>
    </cfRule>
    <cfRule type="cellIs" dxfId="32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10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0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M51"/>
  <sheetViews>
    <sheetView workbookViewId="0">
      <selection activeCell="J7" sqref="J7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Term'!B23)</f>
        <v>KUFRE GOODNEWS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43.088235294117652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17th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110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51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30</v>
      </c>
      <c r="I19" s="38">
        <f>SUM(G19:H19)</f>
        <v>58</v>
      </c>
      <c r="J19" s="38">
        <f>(VLOOKUP(C8,'1st Term'!B9:AN48,2,FALSE))+(VLOOKUP(C8,'1st Term'!B9:AN48,3,FALSE))</f>
        <v>49</v>
      </c>
      <c r="K19" s="38">
        <f>SUM(I19:J19)</f>
        <v>107</v>
      </c>
      <c r="L19" s="32">
        <f>K19/2</f>
        <v>53.5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20</v>
      </c>
      <c r="H20" s="38">
        <f>VLOOKUP(C8,'2nd Term'!B9:AN48,5,FALSE)</f>
        <v>44</v>
      </c>
      <c r="I20" s="38">
        <f t="shared" ref="I20:I37" si="0">SUM(G20:H20)</f>
        <v>64</v>
      </c>
      <c r="J20" s="38">
        <f>(VLOOKUP(C8,'1st Term'!B9:AN48,4,FALSE))+(VLOOKUP(C8,'1st Term'!B9:AN48,5,FALSE))</f>
        <v>50</v>
      </c>
      <c r="K20" s="38">
        <f t="shared" ref="K20:K37" si="1">SUM(I20:J20)</f>
        <v>114</v>
      </c>
      <c r="L20" s="32">
        <f t="shared" ref="L20:L37" si="2">K20/2</f>
        <v>57</v>
      </c>
      <c r="M20" s="38" t="str">
        <f t="shared" ref="M20:M37" si="3">IF(L20&gt;=70,"A",IF(L20&gt;=50,"C",IF(L20&gt;=40,"P","F")))</f>
        <v>C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26</v>
      </c>
      <c r="H21" s="38">
        <f>VLOOKUP(C8,'2nd Term'!B9:AN48,7,FALSE)</f>
        <v>65</v>
      </c>
      <c r="I21" s="38">
        <f t="shared" si="0"/>
        <v>91</v>
      </c>
      <c r="J21" s="38">
        <f>(VLOOKUP(C8,'1st Term'!B9:AN48,6,FALSE))+(VLOOKUP(C8,'1st Term'!B9:AN48,7,FALSE))</f>
        <v>25</v>
      </c>
      <c r="K21" s="38">
        <f t="shared" si="1"/>
        <v>116</v>
      </c>
      <c r="L21" s="32">
        <f t="shared" si="2"/>
        <v>58</v>
      </c>
      <c r="M21" s="38" t="str">
        <f t="shared" si="3"/>
        <v>C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16</v>
      </c>
      <c r="H22" s="38">
        <f>VLOOKUP(C8,'2nd Term'!B9:AN48,9,FALSE)</f>
        <v>20</v>
      </c>
      <c r="I22" s="38">
        <f t="shared" si="0"/>
        <v>36</v>
      </c>
      <c r="J22" s="38">
        <f>(VLOOKUP(C8,'1st Term'!B9:AN48,8,FALSE))+(VLOOKUP(C8,'1st Term'!B9:AN48,9,FALSE))</f>
        <v>36</v>
      </c>
      <c r="K22" s="38">
        <f t="shared" si="1"/>
        <v>72</v>
      </c>
      <c r="L22" s="32">
        <f t="shared" si="2"/>
        <v>36</v>
      </c>
      <c r="M22" s="38" t="str">
        <f t="shared" si="3"/>
        <v>F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13</v>
      </c>
      <c r="H23" s="38">
        <f>VLOOKUP(C8,'2nd Term'!B9:AN48,11,FALSE)</f>
        <v>22</v>
      </c>
      <c r="I23" s="38">
        <f t="shared" si="0"/>
        <v>35</v>
      </c>
      <c r="J23" s="38">
        <f>(VLOOKUP(C8,'1st Term'!B9:AN48,10,FALSE))+(VLOOKUP(C8,'1st Term'!B9:AN48,11,FALSE))</f>
        <v>40</v>
      </c>
      <c r="K23" s="38">
        <f t="shared" si="1"/>
        <v>75</v>
      </c>
      <c r="L23" s="32">
        <f t="shared" si="2"/>
        <v>37.5</v>
      </c>
      <c r="M23" s="38" t="str">
        <f t="shared" si="3"/>
        <v>F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15</v>
      </c>
      <c r="H24" s="38">
        <f>VLOOKUP(C8,'2nd Term'!B9:AN48,13,FALSE)</f>
        <v>14</v>
      </c>
      <c r="I24" s="38">
        <f t="shared" si="0"/>
        <v>29</v>
      </c>
      <c r="J24" s="38">
        <f>(VLOOKUP(C8,'1st Term'!B9:AN48,12,FALSE))+(VLOOKUP(C8,'1st Term'!B9:AN48,13,FALSE))</f>
        <v>29</v>
      </c>
      <c r="K24" s="38">
        <f t="shared" si="1"/>
        <v>58</v>
      </c>
      <c r="L24" s="32">
        <f t="shared" si="2"/>
        <v>29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23</v>
      </c>
      <c r="H25" s="38">
        <f>VLOOKUP(C8,'2nd Term'!B9:AN48,15,FALSE)</f>
        <v>26</v>
      </c>
      <c r="I25" s="38">
        <f t="shared" si="0"/>
        <v>49</v>
      </c>
      <c r="J25" s="38">
        <f>(VLOOKUP(C8,'1st Term'!B9:AN48,14,FALSE))+(VLOOKUP(C8,'1st Term'!B9:AN48,15,FALSE))</f>
        <v>34</v>
      </c>
      <c r="K25" s="38">
        <f t="shared" si="1"/>
        <v>83</v>
      </c>
      <c r="L25" s="32">
        <f t="shared" si="2"/>
        <v>41.5</v>
      </c>
      <c r="M25" s="38" t="str">
        <f t="shared" si="3"/>
        <v>P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17</v>
      </c>
      <c r="H26" s="38">
        <f>VLOOKUP(C8,'2nd Term'!B9:AN48,17,FALSE)</f>
        <v>29</v>
      </c>
      <c r="I26" s="38">
        <f t="shared" si="0"/>
        <v>46</v>
      </c>
      <c r="J26" s="38">
        <f>(VLOOKUP(C8,'1st Term'!B9:AN48,16,FALSE))+(VLOOKUP(C8,'1st Term'!B9:AN48,17,FALSE))</f>
        <v>40</v>
      </c>
      <c r="K26" s="38">
        <f t="shared" si="1"/>
        <v>86</v>
      </c>
      <c r="L26" s="32">
        <f t="shared" si="2"/>
        <v>43</v>
      </c>
      <c r="M26" s="38" t="str">
        <f t="shared" si="3"/>
        <v>P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17</v>
      </c>
      <c r="H28" s="38">
        <f>VLOOKUP(C8,'2nd Term'!B9:AN48,21,FALSE)</f>
        <v>40</v>
      </c>
      <c r="I28" s="38">
        <f t="shared" si="0"/>
        <v>57</v>
      </c>
      <c r="J28" s="38">
        <f>(VLOOKUP(C8,'1st Term'!B9:AN48,20,FALSE))+(VLOOKUP(C8,'1st Term'!B9:AN48,21,FALSE))</f>
        <v>45</v>
      </c>
      <c r="K28" s="38">
        <f t="shared" si="1"/>
        <v>102</v>
      </c>
      <c r="L28" s="32">
        <f t="shared" si="2"/>
        <v>51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18</v>
      </c>
      <c r="H29" s="38">
        <f>VLOOKUP(C8,'2nd Term'!B9:AN48,23,FALSE)</f>
        <v>37</v>
      </c>
      <c r="I29" s="38">
        <f t="shared" si="0"/>
        <v>55</v>
      </c>
      <c r="J29" s="38">
        <f>(VLOOKUP(C8,'1st Term'!B9:AN48,22,FALSE))+(VLOOKUP(C8,'1st Term'!B9:AN48,23,FALSE))</f>
        <v>51</v>
      </c>
      <c r="K29" s="38">
        <f t="shared" si="1"/>
        <v>106</v>
      </c>
      <c r="L29" s="32">
        <f t="shared" si="2"/>
        <v>53</v>
      </c>
      <c r="M29" s="38" t="str">
        <f t="shared" si="3"/>
        <v>C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25</v>
      </c>
      <c r="H30" s="38">
        <f>VLOOKUP(C8,'2nd Term'!B9:AN48,25,FALSE)</f>
        <v>25</v>
      </c>
      <c r="I30" s="38">
        <f t="shared" si="0"/>
        <v>50</v>
      </c>
      <c r="J30" s="38">
        <f>(VLOOKUP(C8,'1st Term'!B9:AN48,24,FALSE))+(VLOOKUP(C8,'1st Term'!B9:AN48,25,FALSE))</f>
        <v>48</v>
      </c>
      <c r="K30" s="38">
        <f t="shared" si="1"/>
        <v>98</v>
      </c>
      <c r="L30" s="32">
        <f t="shared" si="2"/>
        <v>49</v>
      </c>
      <c r="M30" s="38" t="str">
        <f t="shared" si="3"/>
        <v>P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12</v>
      </c>
      <c r="H32" s="38">
        <f>VLOOKUP(C8,'2nd Term'!B9:AN48,29,FALSE)</f>
        <v>30</v>
      </c>
      <c r="I32" s="38">
        <f t="shared" si="0"/>
        <v>42</v>
      </c>
      <c r="J32" s="38">
        <f>(VLOOKUP(C8,'1st Term'!B9:AN48,28,FALSE))+(VLOOKUP(C8,'1st Term'!B9:AN48,29,FALSE))</f>
        <v>40</v>
      </c>
      <c r="K32" s="38">
        <f t="shared" si="1"/>
        <v>82</v>
      </c>
      <c r="L32" s="32">
        <f t="shared" si="2"/>
        <v>41</v>
      </c>
      <c r="M32" s="38" t="str">
        <f t="shared" si="3"/>
        <v>P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20</v>
      </c>
      <c r="H33" s="38">
        <f>VLOOKUP(C8,'2nd Term'!B9:AN48,31,FALSE)</f>
        <v>10</v>
      </c>
      <c r="I33" s="38">
        <f t="shared" si="0"/>
        <v>30</v>
      </c>
      <c r="J33" s="38">
        <f>(VLOOKUP(C8,'1st Term'!B9:AN48,30,FALSE))+(VLOOKUP(C8,'1st Term'!B9:AN48,31,FALSE))</f>
        <v>29</v>
      </c>
      <c r="K33" s="38">
        <f t="shared" si="1"/>
        <v>59</v>
      </c>
      <c r="L33" s="32">
        <f t="shared" si="2"/>
        <v>29.5</v>
      </c>
      <c r="M33" s="38" t="str">
        <f t="shared" si="3"/>
        <v>F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29</v>
      </c>
      <c r="H34" s="38">
        <f>VLOOKUP(C8,'2nd Term'!B9:AN48,33,FALSE)</f>
        <v>35</v>
      </c>
      <c r="I34" s="38">
        <f t="shared" si="0"/>
        <v>64</v>
      </c>
      <c r="J34" s="38">
        <f>(VLOOKUP(C8,'1st Term'!B9:AN48,32,FALSE))+(VLOOKUP(C8,'1st Term'!B9:AN48,33,FALSE))</f>
        <v>29</v>
      </c>
      <c r="K34" s="38">
        <f t="shared" si="1"/>
        <v>93</v>
      </c>
      <c r="L34" s="32">
        <f t="shared" si="2"/>
        <v>46.5</v>
      </c>
      <c r="M34" s="38" t="str">
        <f t="shared" si="3"/>
        <v>P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22</v>
      </c>
      <c r="H35" s="38">
        <f>VLOOKUP(C8,'2nd Term'!B9:AN48,35,FALSE)</f>
        <v>23</v>
      </c>
      <c r="I35" s="38">
        <f t="shared" si="0"/>
        <v>45</v>
      </c>
      <c r="J35" s="38">
        <f>(VLOOKUP(C8,'1st Term'!B9:AN48,34,FALSE))+(VLOOKUP(C8,'1st Term'!B9:AN48,35,FALSE))</f>
        <v>18</v>
      </c>
      <c r="K35" s="38">
        <f t="shared" si="1"/>
        <v>63</v>
      </c>
      <c r="L35" s="32">
        <f t="shared" si="2"/>
        <v>31.5</v>
      </c>
      <c r="M35" s="38" t="str">
        <f t="shared" si="3"/>
        <v>F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16</v>
      </c>
      <c r="H36" s="38">
        <f>VLOOKUP(C8,'2nd Term'!B9:AN48,37,FALSE)</f>
        <v>29</v>
      </c>
      <c r="I36" s="38">
        <f t="shared" si="0"/>
        <v>45</v>
      </c>
      <c r="J36" s="38">
        <f>(VLOOKUP(C8,'1st Term'!B9:AN48,36,FALSE))+(VLOOKUP(C8,'1st Term'!B9:AN48,37,FALSE))</f>
        <v>27</v>
      </c>
      <c r="K36" s="38">
        <f t="shared" si="1"/>
        <v>72</v>
      </c>
      <c r="L36" s="32">
        <f t="shared" si="2"/>
        <v>36</v>
      </c>
      <c r="M36" s="38" t="str">
        <f t="shared" si="3"/>
        <v>F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22</v>
      </c>
      <c r="H37" s="38">
        <f>VLOOKUP(C8,'2nd Term'!B9:AN48,39,FALSE)</f>
        <v>15</v>
      </c>
      <c r="I37" s="38">
        <f t="shared" si="0"/>
        <v>37</v>
      </c>
      <c r="J37" s="38">
        <f>(VLOOKUP(C8,'1st Term'!B9:AN48,38,FALSE))+(VLOOKUP(C8,'1st Term'!B9:AN48,39,FALSE))</f>
        <v>42</v>
      </c>
      <c r="K37" s="38">
        <f t="shared" si="1"/>
        <v>79</v>
      </c>
      <c r="L37" s="32">
        <f t="shared" si="2"/>
        <v>39.5</v>
      </c>
      <c r="M37" s="38" t="str">
        <f t="shared" si="3"/>
        <v>F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100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zXujt/yTKijzsYUOs4POPHX/Wr+Mq+VrbNy4yDDwKEa+7LbrI0uyNi1FihIs7Wsq1fG4R+AK7TWFkOZZRXkCqQ==" saltValue="Kyn7ZLO8rGMh5fhyWOi4Mw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31" priority="1" operator="equal">
      <formula>"F"</formula>
    </cfRule>
    <cfRule type="cellIs" dxfId="30" priority="2" operator="equal">
      <formula>"P"</formula>
    </cfRule>
    <cfRule type="cellIs" dxfId="29" priority="3" operator="equal">
      <formula>"C"</formula>
    </cfRule>
    <cfRule type="cellIs" dxfId="28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11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1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M51"/>
  <sheetViews>
    <sheetView workbookViewId="0">
      <selection activeCell="G12" sqref="G12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Term'!B24)</f>
        <v>NWABUEZE FAVOUR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71.64705882352942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3rd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55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120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60</v>
      </c>
      <c r="I19" s="38">
        <f>SUM(G19:H19)</f>
        <v>88</v>
      </c>
      <c r="J19" s="38">
        <f>(VLOOKUP(C8,'1st Term'!B9:AN48,2,FALSE))+(VLOOKUP(C8,'1st Term'!B9:AN48,3,FALSE))</f>
        <v>85</v>
      </c>
      <c r="K19" s="38">
        <f>SUM(I19:J19)</f>
        <v>173</v>
      </c>
      <c r="L19" s="32">
        <f>K19/2</f>
        <v>86.5</v>
      </c>
      <c r="M19" s="38" t="str">
        <f>IF(L19&gt;=70,"A",IF(L19&gt;=50,"C",IF(L19&gt;=40,"P","F")))</f>
        <v>A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30</v>
      </c>
      <c r="H20" s="38">
        <f>VLOOKUP(C8,'2nd Term'!B9:AN48,5,FALSE)</f>
        <v>63</v>
      </c>
      <c r="I20" s="38">
        <f t="shared" ref="I20:I37" si="0">SUM(G20:H20)</f>
        <v>93</v>
      </c>
      <c r="J20" s="38">
        <f>(VLOOKUP(C8,'1st Term'!B9:AN48,4,FALSE))+(VLOOKUP(C8,'1st Term'!B9:AN48,5,FALSE))</f>
        <v>85</v>
      </c>
      <c r="K20" s="38">
        <f t="shared" ref="K20:K37" si="1">SUM(I20:J20)</f>
        <v>178</v>
      </c>
      <c r="L20" s="32">
        <f t="shared" ref="L20:L37" si="2">K20/2</f>
        <v>89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30</v>
      </c>
      <c r="H21" s="38">
        <f>VLOOKUP(C8,'2nd Term'!B9:AN48,7,FALSE)</f>
        <v>66</v>
      </c>
      <c r="I21" s="38">
        <f t="shared" si="0"/>
        <v>96</v>
      </c>
      <c r="J21" s="38">
        <f>(VLOOKUP(C8,'1st Term'!B9:AN48,6,FALSE))+(VLOOKUP(C8,'1st Term'!B9:AN48,7,FALSE))</f>
        <v>61</v>
      </c>
      <c r="K21" s="38">
        <f t="shared" si="1"/>
        <v>157</v>
      </c>
      <c r="L21" s="32">
        <f t="shared" si="2"/>
        <v>78.5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22</v>
      </c>
      <c r="H22" s="38">
        <f>VLOOKUP(C8,'2nd Term'!B9:AN48,9,FALSE)</f>
        <v>33</v>
      </c>
      <c r="I22" s="38">
        <f t="shared" si="0"/>
        <v>55</v>
      </c>
      <c r="J22" s="38">
        <f>(VLOOKUP(C8,'1st Term'!B9:AN48,8,FALSE))+(VLOOKUP(C8,'1st Term'!B9:AN48,9,FALSE))</f>
        <v>34</v>
      </c>
      <c r="K22" s="38">
        <f t="shared" si="1"/>
        <v>89</v>
      </c>
      <c r="L22" s="32">
        <f t="shared" si="2"/>
        <v>44.5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30</v>
      </c>
      <c r="H23" s="38">
        <f>VLOOKUP(C8,'2nd Term'!B9:AN48,11,FALSE)</f>
        <v>54</v>
      </c>
      <c r="I23" s="38">
        <f t="shared" si="0"/>
        <v>84</v>
      </c>
      <c r="J23" s="38">
        <f>(VLOOKUP(C8,'1st Term'!B9:AN48,10,FALSE))+(VLOOKUP(C8,'1st Term'!B9:AN48,11,FALSE))</f>
        <v>64</v>
      </c>
      <c r="K23" s="38">
        <f t="shared" si="1"/>
        <v>148</v>
      </c>
      <c r="L23" s="32">
        <f t="shared" si="2"/>
        <v>74</v>
      </c>
      <c r="M23" s="38" t="str">
        <f t="shared" si="3"/>
        <v>A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19</v>
      </c>
      <c r="H24" s="38">
        <f>VLOOKUP(C8,'2nd Term'!B9:AN48,13,FALSE)</f>
        <v>44</v>
      </c>
      <c r="I24" s="38">
        <f t="shared" si="0"/>
        <v>63</v>
      </c>
      <c r="J24" s="38">
        <f>(VLOOKUP(C8,'1st Term'!B9:AN48,12,FALSE))+(VLOOKUP(C8,'1st Term'!B9:AN48,13,FALSE))</f>
        <v>78</v>
      </c>
      <c r="K24" s="38">
        <f t="shared" si="1"/>
        <v>141</v>
      </c>
      <c r="L24" s="32">
        <f t="shared" si="2"/>
        <v>70.5</v>
      </c>
      <c r="M24" s="38" t="str">
        <f t="shared" si="3"/>
        <v>A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25</v>
      </c>
      <c r="H25" s="38">
        <f>VLOOKUP(C8,'2nd Term'!B9:AN48,15,FALSE)</f>
        <v>35</v>
      </c>
      <c r="I25" s="38">
        <f t="shared" si="0"/>
        <v>60</v>
      </c>
      <c r="J25" s="38">
        <f>(VLOOKUP(C8,'1st Term'!B9:AN48,14,FALSE))+(VLOOKUP(C8,'1st Term'!B9:AN48,15,FALSE))</f>
        <v>65</v>
      </c>
      <c r="K25" s="38">
        <f t="shared" si="1"/>
        <v>125</v>
      </c>
      <c r="L25" s="32">
        <f t="shared" si="2"/>
        <v>62.5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22</v>
      </c>
      <c r="H26" s="38">
        <f>VLOOKUP(C8,'2nd Term'!B9:AN48,17,FALSE)</f>
        <v>40</v>
      </c>
      <c r="I26" s="38">
        <f t="shared" si="0"/>
        <v>62</v>
      </c>
      <c r="J26" s="38">
        <f>(VLOOKUP(C8,'1st Term'!B9:AN48,16,FALSE))+(VLOOKUP(C8,'1st Term'!B9:AN48,17,FALSE))</f>
        <v>62</v>
      </c>
      <c r="K26" s="38">
        <f t="shared" si="1"/>
        <v>124</v>
      </c>
      <c r="L26" s="32">
        <f t="shared" si="2"/>
        <v>62</v>
      </c>
      <c r="M26" s="38" t="str">
        <f t="shared" si="3"/>
        <v>C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25</v>
      </c>
      <c r="H28" s="38">
        <f>VLOOKUP(C8,'2nd Term'!B9:AN48,21,FALSE)</f>
        <v>52</v>
      </c>
      <c r="I28" s="38">
        <f t="shared" si="0"/>
        <v>77</v>
      </c>
      <c r="J28" s="38">
        <f>(VLOOKUP(C8,'1st Term'!B9:AN48,20,FALSE))+(VLOOKUP(C8,'1st Term'!B9:AN48,21,FALSE))</f>
        <v>67</v>
      </c>
      <c r="K28" s="38">
        <f t="shared" si="1"/>
        <v>144</v>
      </c>
      <c r="L28" s="32">
        <f t="shared" si="2"/>
        <v>72</v>
      </c>
      <c r="M28" s="38" t="str">
        <f t="shared" si="3"/>
        <v>A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29</v>
      </c>
      <c r="H29" s="38">
        <f>VLOOKUP(C8,'2nd Term'!B9:AN48,23,FALSE)</f>
        <v>65</v>
      </c>
      <c r="I29" s="38">
        <f t="shared" si="0"/>
        <v>94</v>
      </c>
      <c r="J29" s="38">
        <f>(VLOOKUP(C8,'1st Term'!B9:AN48,22,FALSE))+(VLOOKUP(C8,'1st Term'!B9:AN48,23,FALSE))</f>
        <v>79</v>
      </c>
      <c r="K29" s="38">
        <f t="shared" si="1"/>
        <v>173</v>
      </c>
      <c r="L29" s="32">
        <f t="shared" si="2"/>
        <v>86.5</v>
      </c>
      <c r="M29" s="38" t="str">
        <f t="shared" si="3"/>
        <v>A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23</v>
      </c>
      <c r="H30" s="38">
        <f>VLOOKUP(C8,'2nd Term'!B9:AN48,25,FALSE)</f>
        <v>47</v>
      </c>
      <c r="I30" s="38">
        <f t="shared" si="0"/>
        <v>70</v>
      </c>
      <c r="J30" s="38">
        <f>(VLOOKUP(C8,'1st Term'!B9:AN48,24,FALSE))+(VLOOKUP(C8,'1st Term'!B9:AN48,25,FALSE))</f>
        <v>65</v>
      </c>
      <c r="K30" s="38">
        <f t="shared" si="1"/>
        <v>135</v>
      </c>
      <c r="L30" s="32">
        <f t="shared" si="2"/>
        <v>67.5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30</v>
      </c>
      <c r="H32" s="38">
        <f>VLOOKUP(C8,'2nd Term'!B9:AN48,29,FALSE)</f>
        <v>52</v>
      </c>
      <c r="I32" s="38">
        <f t="shared" si="0"/>
        <v>82</v>
      </c>
      <c r="J32" s="38">
        <f>(VLOOKUP(C8,'1st Term'!B9:AN48,28,FALSE))+(VLOOKUP(C8,'1st Term'!B9:AN48,29,FALSE))</f>
        <v>72</v>
      </c>
      <c r="K32" s="38">
        <f t="shared" si="1"/>
        <v>154</v>
      </c>
      <c r="L32" s="32">
        <f t="shared" si="2"/>
        <v>77</v>
      </c>
      <c r="M32" s="38" t="str">
        <f t="shared" si="3"/>
        <v>A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20</v>
      </c>
      <c r="H33" s="38">
        <f>VLOOKUP(C8,'2nd Term'!B9:AN48,31,FALSE)</f>
        <v>54</v>
      </c>
      <c r="I33" s="38">
        <f t="shared" si="0"/>
        <v>74</v>
      </c>
      <c r="J33" s="38">
        <f>(VLOOKUP(C8,'1st Term'!B9:AN48,30,FALSE))+(VLOOKUP(C8,'1st Term'!B9:AN48,31,FALSE))</f>
        <v>70</v>
      </c>
      <c r="K33" s="38">
        <f t="shared" si="1"/>
        <v>144</v>
      </c>
      <c r="L33" s="32">
        <f t="shared" si="2"/>
        <v>72</v>
      </c>
      <c r="M33" s="38" t="str">
        <f t="shared" si="3"/>
        <v>A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27</v>
      </c>
      <c r="H34" s="38">
        <f>VLOOKUP(C8,'2nd Term'!B9:AN48,33,FALSE)</f>
        <v>40</v>
      </c>
      <c r="I34" s="38">
        <f t="shared" si="0"/>
        <v>67</v>
      </c>
      <c r="J34" s="38">
        <f>(VLOOKUP(C8,'1st Term'!B9:AN48,32,FALSE))+(VLOOKUP(C8,'1st Term'!B9:AN48,33,FALSE))</f>
        <v>57</v>
      </c>
      <c r="K34" s="38">
        <f t="shared" si="1"/>
        <v>124</v>
      </c>
      <c r="L34" s="32">
        <f t="shared" si="2"/>
        <v>62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28</v>
      </c>
      <c r="H35" s="38">
        <f>VLOOKUP(C8,'2nd Term'!B9:AN48,35,FALSE)</f>
        <v>52</v>
      </c>
      <c r="I35" s="38">
        <f t="shared" si="0"/>
        <v>80</v>
      </c>
      <c r="J35" s="38">
        <f>(VLOOKUP(C8,'1st Term'!B9:AN48,34,FALSE))+(VLOOKUP(C8,'1st Term'!B9:AN48,35,FALSE))</f>
        <v>33</v>
      </c>
      <c r="K35" s="38">
        <f t="shared" si="1"/>
        <v>113</v>
      </c>
      <c r="L35" s="32">
        <f t="shared" si="2"/>
        <v>56.5</v>
      </c>
      <c r="M35" s="38" t="str">
        <f t="shared" si="3"/>
        <v>C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27</v>
      </c>
      <c r="H36" s="38">
        <f>VLOOKUP(C8,'2nd Term'!B9:AN48,37,FALSE)</f>
        <v>60</v>
      </c>
      <c r="I36" s="38">
        <f t="shared" si="0"/>
        <v>87</v>
      </c>
      <c r="J36" s="38">
        <f>(VLOOKUP(C8,'1st Term'!B9:AN48,36,FALSE))+(VLOOKUP(C8,'1st Term'!B9:AN48,37,FALSE))</f>
        <v>68</v>
      </c>
      <c r="K36" s="38">
        <f t="shared" si="1"/>
        <v>155</v>
      </c>
      <c r="L36" s="32">
        <f t="shared" si="2"/>
        <v>77.5</v>
      </c>
      <c r="M36" s="38" t="str">
        <f t="shared" si="3"/>
        <v>A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20</v>
      </c>
      <c r="H37" s="38">
        <f>VLOOKUP(C8,'2nd Term'!B9:AN48,39,FALSE)</f>
        <v>63</v>
      </c>
      <c r="I37" s="38">
        <f t="shared" si="0"/>
        <v>83</v>
      </c>
      <c r="J37" s="38">
        <f>(VLOOKUP(C8,'1st Term'!B9:AN48,38,FALSE))+(VLOOKUP(C8,'1st Term'!B9:AN48,39,FALSE))</f>
        <v>76</v>
      </c>
      <c r="K37" s="38">
        <f t="shared" si="1"/>
        <v>159</v>
      </c>
      <c r="L37" s="32">
        <f t="shared" si="2"/>
        <v>79.5</v>
      </c>
      <c r="M37" s="38" t="str">
        <f t="shared" si="3"/>
        <v>A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162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96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LEIkhz/7LDHtEP/viz0WNUObWezboNBIjrISDUCzXcokKtdoc+yb4Fq9KRNIG9i6D/GmWuH8tknaEtLdA4hfhg==" saltValue="hbsiXJHLZiFJ5IJ4rMA5MA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27" priority="1" operator="equal">
      <formula>"F"</formula>
    </cfRule>
    <cfRule type="cellIs" dxfId="26" priority="2" operator="equal">
      <formula>"P"</formula>
    </cfRule>
    <cfRule type="cellIs" dxfId="25" priority="3" operator="equal">
      <formula>"C"</formula>
    </cfRule>
    <cfRule type="cellIs" dxfId="24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12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2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M51"/>
  <sheetViews>
    <sheetView workbookViewId="0">
      <selection activeCell="B7" sqref="B7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Term'!B25)</f>
        <v>NWABUEZE VICTOR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47.882352941176471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15th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53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52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106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55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26</v>
      </c>
      <c r="I19" s="38">
        <f>SUM(G19:H19)</f>
        <v>54</v>
      </c>
      <c r="J19" s="38">
        <f>(VLOOKUP(C8,'1st Term'!B9:AN48,2,FALSE))+(VLOOKUP(C8,'1st Term'!B9:AN48,3,FALSE))</f>
        <v>54</v>
      </c>
      <c r="K19" s="38">
        <f>SUM(I19:J19)</f>
        <v>108</v>
      </c>
      <c r="L19" s="32">
        <f>K19/2</f>
        <v>54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20</v>
      </c>
      <c r="H20" s="38">
        <f>VLOOKUP(C8,'2nd Term'!B9:AN48,5,FALSE)</f>
        <v>61</v>
      </c>
      <c r="I20" s="38">
        <f t="shared" ref="I20:I37" si="0">SUM(G20:H20)</f>
        <v>81</v>
      </c>
      <c r="J20" s="38">
        <f>(VLOOKUP(C8,'1st Term'!B9:AN48,4,FALSE))+(VLOOKUP(C8,'1st Term'!B9:AN48,5,FALSE))</f>
        <v>73</v>
      </c>
      <c r="K20" s="38">
        <f t="shared" ref="K20:K37" si="1">SUM(I20:J20)</f>
        <v>154</v>
      </c>
      <c r="L20" s="32">
        <f t="shared" ref="L20:L37" si="2">K20/2</f>
        <v>77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17</v>
      </c>
      <c r="H21" s="38">
        <f>VLOOKUP(C8,'2nd Term'!B9:AN48,7,FALSE)</f>
        <v>48</v>
      </c>
      <c r="I21" s="38">
        <f t="shared" si="0"/>
        <v>65</v>
      </c>
      <c r="J21" s="38">
        <f>(VLOOKUP(C8,'1st Term'!B9:AN48,6,FALSE))+(VLOOKUP(C8,'1st Term'!B9:AN48,7,FALSE))</f>
        <v>62</v>
      </c>
      <c r="K21" s="38">
        <f t="shared" si="1"/>
        <v>127</v>
      </c>
      <c r="L21" s="32">
        <f t="shared" si="2"/>
        <v>63.5</v>
      </c>
      <c r="M21" s="38" t="str">
        <f t="shared" si="3"/>
        <v>C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14</v>
      </c>
      <c r="H22" s="38">
        <f>VLOOKUP(C8,'2nd Term'!B9:AN48,9,FALSE)</f>
        <v>12</v>
      </c>
      <c r="I22" s="38">
        <f t="shared" si="0"/>
        <v>26</v>
      </c>
      <c r="J22" s="38">
        <f>(VLOOKUP(C8,'1st Term'!B9:AN48,8,FALSE))+(VLOOKUP(C8,'1st Term'!B9:AN48,9,FALSE))</f>
        <v>58</v>
      </c>
      <c r="K22" s="38">
        <f t="shared" si="1"/>
        <v>84</v>
      </c>
      <c r="L22" s="32">
        <f t="shared" si="2"/>
        <v>42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17</v>
      </c>
      <c r="H23" s="38">
        <f>VLOOKUP(C8,'2nd Term'!B9:AN48,11,FALSE)</f>
        <v>26</v>
      </c>
      <c r="I23" s="38">
        <f t="shared" si="0"/>
        <v>43</v>
      </c>
      <c r="J23" s="38">
        <f>(VLOOKUP(C8,'1st Term'!B9:AN48,10,FALSE))+(VLOOKUP(C8,'1st Term'!B9:AN48,11,FALSE))</f>
        <v>40</v>
      </c>
      <c r="K23" s="38">
        <f t="shared" si="1"/>
        <v>83</v>
      </c>
      <c r="L23" s="32">
        <f t="shared" si="2"/>
        <v>41.5</v>
      </c>
      <c r="M23" s="38" t="str">
        <f t="shared" si="3"/>
        <v>P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13</v>
      </c>
      <c r="H24" s="38">
        <f>VLOOKUP(C8,'2nd Term'!B9:AN48,13,FALSE)</f>
        <v>13</v>
      </c>
      <c r="I24" s="38">
        <f t="shared" si="0"/>
        <v>26</v>
      </c>
      <c r="J24" s="38">
        <f>(VLOOKUP(C8,'1st Term'!B9:AN48,12,FALSE))+(VLOOKUP(C8,'1st Term'!B9:AN48,13,FALSE))</f>
        <v>27</v>
      </c>
      <c r="K24" s="38">
        <f t="shared" si="1"/>
        <v>53</v>
      </c>
      <c r="L24" s="32">
        <f t="shared" si="2"/>
        <v>26.5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26</v>
      </c>
      <c r="H25" s="38">
        <f>VLOOKUP(C8,'2nd Term'!B9:AN48,15,FALSE)</f>
        <v>27</v>
      </c>
      <c r="I25" s="38">
        <f t="shared" si="0"/>
        <v>53</v>
      </c>
      <c r="J25" s="38">
        <f>(VLOOKUP(C8,'1st Term'!B9:AN48,14,FALSE))+(VLOOKUP(C8,'1st Term'!B9:AN48,15,FALSE))</f>
        <v>62</v>
      </c>
      <c r="K25" s="38">
        <f t="shared" si="1"/>
        <v>115</v>
      </c>
      <c r="L25" s="32">
        <f t="shared" si="2"/>
        <v>57.5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19</v>
      </c>
      <c r="H26" s="38">
        <f>VLOOKUP(C8,'2nd Term'!B9:AN48,17,FALSE)</f>
        <v>35</v>
      </c>
      <c r="I26" s="38">
        <f t="shared" si="0"/>
        <v>54</v>
      </c>
      <c r="J26" s="38">
        <f>(VLOOKUP(C8,'1st Term'!B9:AN48,16,FALSE))+(VLOOKUP(C8,'1st Term'!B9:AN48,17,FALSE))</f>
        <v>34</v>
      </c>
      <c r="K26" s="38">
        <f t="shared" si="1"/>
        <v>88</v>
      </c>
      <c r="L26" s="32">
        <f t="shared" si="2"/>
        <v>44</v>
      </c>
      <c r="M26" s="38" t="str">
        <f t="shared" si="3"/>
        <v>P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14</v>
      </c>
      <c r="H28" s="38">
        <f>VLOOKUP(C8,'2nd Term'!B9:AN48,21,FALSE)</f>
        <v>24</v>
      </c>
      <c r="I28" s="38">
        <f t="shared" si="0"/>
        <v>38</v>
      </c>
      <c r="J28" s="38">
        <f>(VLOOKUP(C8,'1st Term'!B9:AN48,20,FALSE))+(VLOOKUP(C8,'1st Term'!B9:AN48,21,FALSE))</f>
        <v>50</v>
      </c>
      <c r="K28" s="38">
        <f t="shared" si="1"/>
        <v>88</v>
      </c>
      <c r="L28" s="32">
        <f t="shared" si="2"/>
        <v>44</v>
      </c>
      <c r="M28" s="38" t="str">
        <f t="shared" si="3"/>
        <v>P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22</v>
      </c>
      <c r="H29" s="38">
        <f>VLOOKUP(C8,'2nd Term'!B9:AN48,23,FALSE)</f>
        <v>34</v>
      </c>
      <c r="I29" s="38">
        <f t="shared" si="0"/>
        <v>56</v>
      </c>
      <c r="J29" s="38">
        <f>(VLOOKUP(C8,'1st Term'!B9:AN48,22,FALSE))+(VLOOKUP(C8,'1st Term'!B9:AN48,23,FALSE))</f>
        <v>29</v>
      </c>
      <c r="K29" s="38">
        <f t="shared" si="1"/>
        <v>85</v>
      </c>
      <c r="L29" s="32">
        <f t="shared" si="2"/>
        <v>42.5</v>
      </c>
      <c r="M29" s="38" t="str">
        <f t="shared" si="3"/>
        <v>P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20</v>
      </c>
      <c r="H30" s="38">
        <f>VLOOKUP(C8,'2nd Term'!B9:AN48,25,FALSE)</f>
        <v>25</v>
      </c>
      <c r="I30" s="38">
        <f t="shared" si="0"/>
        <v>45</v>
      </c>
      <c r="J30" s="38">
        <f>(VLOOKUP(C8,'1st Term'!B9:AN48,24,FALSE))+(VLOOKUP(C8,'1st Term'!B9:AN48,25,FALSE))</f>
        <v>60</v>
      </c>
      <c r="K30" s="38">
        <f t="shared" si="1"/>
        <v>105</v>
      </c>
      <c r="L30" s="32">
        <f t="shared" si="2"/>
        <v>52.5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12</v>
      </c>
      <c r="H32" s="38">
        <f>VLOOKUP(C8,'2nd Term'!B9:AN48,29,FALSE)</f>
        <v>21</v>
      </c>
      <c r="I32" s="38">
        <f t="shared" si="0"/>
        <v>33</v>
      </c>
      <c r="J32" s="38">
        <f>(VLOOKUP(C8,'1st Term'!B9:AN48,28,FALSE))+(VLOOKUP(C8,'1st Term'!B9:AN48,29,FALSE))</f>
        <v>40</v>
      </c>
      <c r="K32" s="38">
        <f t="shared" si="1"/>
        <v>73</v>
      </c>
      <c r="L32" s="32">
        <f t="shared" si="2"/>
        <v>36.5</v>
      </c>
      <c r="M32" s="38" t="str">
        <f t="shared" si="3"/>
        <v>F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25</v>
      </c>
      <c r="H33" s="38">
        <f>VLOOKUP(C8,'2nd Term'!B9:AN48,31,FALSE)</f>
        <v>18</v>
      </c>
      <c r="I33" s="38">
        <f t="shared" si="0"/>
        <v>43</v>
      </c>
      <c r="J33" s="38">
        <f>(VLOOKUP(C8,'1st Term'!B9:AN48,30,FALSE))+(VLOOKUP(C8,'1st Term'!B9:AN48,31,FALSE))</f>
        <v>36</v>
      </c>
      <c r="K33" s="38">
        <f t="shared" si="1"/>
        <v>79</v>
      </c>
      <c r="L33" s="32">
        <f t="shared" si="2"/>
        <v>39.5</v>
      </c>
      <c r="M33" s="38" t="str">
        <f t="shared" si="3"/>
        <v>F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28</v>
      </c>
      <c r="H34" s="38">
        <f>VLOOKUP(C8,'2nd Term'!B9:AN48,33,FALSE)</f>
        <v>30</v>
      </c>
      <c r="I34" s="38">
        <f t="shared" si="0"/>
        <v>58</v>
      </c>
      <c r="J34" s="38">
        <f>(VLOOKUP(C8,'1st Term'!B9:AN48,32,FALSE))+(VLOOKUP(C8,'1st Term'!B9:AN48,33,FALSE))</f>
        <v>54</v>
      </c>
      <c r="K34" s="38">
        <f t="shared" si="1"/>
        <v>112</v>
      </c>
      <c r="L34" s="32">
        <f t="shared" si="2"/>
        <v>56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18</v>
      </c>
      <c r="H35" s="38">
        <f>VLOOKUP(C8,'2nd Term'!B9:AN48,35,FALSE)</f>
        <v>22</v>
      </c>
      <c r="I35" s="38">
        <f t="shared" si="0"/>
        <v>40</v>
      </c>
      <c r="J35" s="38">
        <f>(VLOOKUP(C8,'1st Term'!B9:AN48,34,FALSE))+(VLOOKUP(C8,'1st Term'!B9:AN48,35,FALSE))</f>
        <v>50</v>
      </c>
      <c r="K35" s="38">
        <f t="shared" si="1"/>
        <v>90</v>
      </c>
      <c r="L35" s="32">
        <f t="shared" si="2"/>
        <v>45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21</v>
      </c>
      <c r="H36" s="38">
        <f>VLOOKUP(C8,'2nd Term'!B9:AN48,37,FALSE)</f>
        <v>43</v>
      </c>
      <c r="I36" s="38">
        <f t="shared" si="0"/>
        <v>64</v>
      </c>
      <c r="J36" s="38">
        <f>(VLOOKUP(C8,'1st Term'!B9:AN48,36,FALSE))+(VLOOKUP(C8,'1st Term'!B9:AN48,37,FALSE))</f>
        <v>41</v>
      </c>
      <c r="K36" s="38">
        <f t="shared" si="1"/>
        <v>105</v>
      </c>
      <c r="L36" s="32">
        <f t="shared" si="2"/>
        <v>52.5</v>
      </c>
      <c r="M36" s="38" t="str">
        <f t="shared" si="3"/>
        <v>C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17</v>
      </c>
      <c r="H37" s="38">
        <f>VLOOKUP(C8,'2nd Term'!B9:AN48,39,FALSE)</f>
        <v>30</v>
      </c>
      <c r="I37" s="38">
        <f t="shared" si="0"/>
        <v>47</v>
      </c>
      <c r="J37" s="38">
        <f>(VLOOKUP(C8,'1st Term'!B9:AN48,38,FALSE))+(VLOOKUP(C8,'1st Term'!B9:AN48,39,FALSE))</f>
        <v>32</v>
      </c>
      <c r="K37" s="38">
        <f t="shared" si="1"/>
        <v>79</v>
      </c>
      <c r="L37" s="32">
        <f t="shared" si="2"/>
        <v>39.5</v>
      </c>
      <c r="M37" s="38" t="str">
        <f t="shared" si="3"/>
        <v>F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100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YrHSbbf7fR/dRXKLiBJPRuqjBiuB/wnzMTi12Ai1PJkdSBtdlogOOQb4K/7D3aWC8GUsZynb0KYPANd3tT70AA==" saltValue="Rt5MUNRAjK7KemDrB/hjbA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23" priority="1" operator="equal">
      <formula>"F"</formula>
    </cfRule>
    <cfRule type="cellIs" dxfId="22" priority="2" operator="equal">
      <formula>"P"</formula>
    </cfRule>
    <cfRule type="cellIs" dxfId="21" priority="3" operator="equal">
      <formula>"C"</formula>
    </cfRule>
    <cfRule type="cellIs" dxfId="20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13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3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M51"/>
  <sheetViews>
    <sheetView workbookViewId="0">
      <selection activeCell="O16" sqref="O16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Term'!B26)</f>
        <v>ONYINYECHI ANITA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71.029411764705884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4th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112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51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60</v>
      </c>
      <c r="I19" s="38">
        <f>SUM(G19:H19)</f>
        <v>88</v>
      </c>
      <c r="J19" s="38">
        <f>(VLOOKUP(C8,'1st Term'!B9:AN48,2,FALSE))+(VLOOKUP(C8,'1st Term'!B9:AN48,3,FALSE))</f>
        <v>83</v>
      </c>
      <c r="K19" s="38">
        <f>SUM(I19:J19)</f>
        <v>171</v>
      </c>
      <c r="L19" s="32">
        <f>K19/2</f>
        <v>85.5</v>
      </c>
      <c r="M19" s="38" t="str">
        <f>IF(L19&gt;=70,"A",IF(L19&gt;=50,"C",IF(L19&gt;=40,"P","F")))</f>
        <v>A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26</v>
      </c>
      <c r="H20" s="38">
        <f>VLOOKUP(C8,'2nd Term'!B9:AN48,5,FALSE)</f>
        <v>55</v>
      </c>
      <c r="I20" s="38">
        <f t="shared" ref="I20:I37" si="0">SUM(G20:H20)</f>
        <v>81</v>
      </c>
      <c r="J20" s="38">
        <f>(VLOOKUP(C8,'1st Term'!B9:AN48,4,FALSE))+(VLOOKUP(C8,'1st Term'!B9:AN48,5,FALSE))</f>
        <v>92</v>
      </c>
      <c r="K20" s="38">
        <f t="shared" ref="K20:K37" si="1">SUM(I20:J20)</f>
        <v>173</v>
      </c>
      <c r="L20" s="32">
        <f t="shared" ref="L20:L37" si="2">K20/2</f>
        <v>86.5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30</v>
      </c>
      <c r="H21" s="38">
        <f>VLOOKUP(C8,'2nd Term'!B9:AN48,7,FALSE)</f>
        <v>69</v>
      </c>
      <c r="I21" s="38">
        <f t="shared" si="0"/>
        <v>99</v>
      </c>
      <c r="J21" s="38">
        <f>(VLOOKUP(C8,'1st Term'!B9:AN48,6,FALSE))+(VLOOKUP(C8,'1st Term'!B9:AN48,7,FALSE))</f>
        <v>57</v>
      </c>
      <c r="K21" s="38">
        <f t="shared" si="1"/>
        <v>156</v>
      </c>
      <c r="L21" s="32">
        <f t="shared" si="2"/>
        <v>78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20</v>
      </c>
      <c r="H22" s="38">
        <f>VLOOKUP(C8,'2nd Term'!B9:AN48,9,FALSE)</f>
        <v>35</v>
      </c>
      <c r="I22" s="38">
        <f t="shared" si="0"/>
        <v>55</v>
      </c>
      <c r="J22" s="38">
        <f>(VLOOKUP(C8,'1st Term'!B9:AN48,8,FALSE))+(VLOOKUP(C8,'1st Term'!B9:AN48,9,FALSE))</f>
        <v>62</v>
      </c>
      <c r="K22" s="38">
        <f t="shared" si="1"/>
        <v>117</v>
      </c>
      <c r="L22" s="32">
        <f t="shared" si="2"/>
        <v>58.5</v>
      </c>
      <c r="M22" s="38" t="str">
        <f t="shared" si="3"/>
        <v>C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30</v>
      </c>
      <c r="H23" s="38">
        <f>VLOOKUP(C8,'2nd Term'!B9:AN48,11,FALSE)</f>
        <v>59</v>
      </c>
      <c r="I23" s="38">
        <f t="shared" si="0"/>
        <v>89</v>
      </c>
      <c r="J23" s="38">
        <f>(VLOOKUP(C8,'1st Term'!B9:AN48,10,FALSE))+(VLOOKUP(C8,'1st Term'!B9:AN48,11,FALSE))</f>
        <v>70</v>
      </c>
      <c r="K23" s="38">
        <f t="shared" si="1"/>
        <v>159</v>
      </c>
      <c r="L23" s="32">
        <f t="shared" si="2"/>
        <v>79.5</v>
      </c>
      <c r="M23" s="38" t="str">
        <f t="shared" si="3"/>
        <v>A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27</v>
      </c>
      <c r="H24" s="38">
        <f>VLOOKUP(C8,'2nd Term'!B9:AN48,13,FALSE)</f>
        <v>31</v>
      </c>
      <c r="I24" s="38">
        <f t="shared" si="0"/>
        <v>58</v>
      </c>
      <c r="J24" s="38">
        <f>(VLOOKUP(C8,'1st Term'!B9:AN48,12,FALSE))+(VLOOKUP(C8,'1st Term'!B9:AN48,13,FALSE))</f>
        <v>60</v>
      </c>
      <c r="K24" s="38">
        <f t="shared" si="1"/>
        <v>118</v>
      </c>
      <c r="L24" s="32">
        <f t="shared" si="2"/>
        <v>59</v>
      </c>
      <c r="M24" s="38" t="str">
        <f t="shared" si="3"/>
        <v>C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23</v>
      </c>
      <c r="H25" s="38">
        <f>VLOOKUP(C8,'2nd Term'!B9:AN48,15,FALSE)</f>
        <v>38</v>
      </c>
      <c r="I25" s="38">
        <f t="shared" si="0"/>
        <v>61</v>
      </c>
      <c r="J25" s="38">
        <f>(VLOOKUP(C8,'1st Term'!B9:AN48,14,FALSE))+(VLOOKUP(C8,'1st Term'!B9:AN48,15,FALSE))</f>
        <v>61</v>
      </c>
      <c r="K25" s="38">
        <f t="shared" si="1"/>
        <v>122</v>
      </c>
      <c r="L25" s="32">
        <f t="shared" si="2"/>
        <v>61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29</v>
      </c>
      <c r="H26" s="38">
        <f>VLOOKUP(C8,'2nd Term'!B9:AN48,17,FALSE)</f>
        <v>59</v>
      </c>
      <c r="I26" s="38">
        <f t="shared" si="0"/>
        <v>88</v>
      </c>
      <c r="J26" s="38">
        <f>(VLOOKUP(C8,'1st Term'!B9:AN48,16,FALSE))+(VLOOKUP(C8,'1st Term'!B9:AN48,17,FALSE))</f>
        <v>76</v>
      </c>
      <c r="K26" s="38">
        <f t="shared" si="1"/>
        <v>164</v>
      </c>
      <c r="L26" s="32">
        <f t="shared" si="2"/>
        <v>82</v>
      </c>
      <c r="M26" s="38" t="str">
        <f t="shared" si="3"/>
        <v>A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16</v>
      </c>
      <c r="H28" s="38">
        <f>VLOOKUP(C8,'2nd Term'!B9:AN48,21,FALSE)</f>
        <v>58</v>
      </c>
      <c r="I28" s="38">
        <f t="shared" si="0"/>
        <v>74</v>
      </c>
      <c r="J28" s="38">
        <f>(VLOOKUP(C8,'1st Term'!B9:AN48,20,FALSE))+(VLOOKUP(C8,'1st Term'!B9:AN48,21,FALSE))</f>
        <v>55</v>
      </c>
      <c r="K28" s="38">
        <f t="shared" si="1"/>
        <v>129</v>
      </c>
      <c r="L28" s="32">
        <f t="shared" si="2"/>
        <v>64.5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29</v>
      </c>
      <c r="H29" s="38">
        <f>VLOOKUP(C8,'2nd Term'!B9:AN48,23,FALSE)</f>
        <v>59</v>
      </c>
      <c r="I29" s="38">
        <f t="shared" si="0"/>
        <v>88</v>
      </c>
      <c r="J29" s="38">
        <f>(VLOOKUP(C8,'1st Term'!B9:AN48,22,FALSE))+(VLOOKUP(C8,'1st Term'!B9:AN48,23,FALSE))</f>
        <v>76</v>
      </c>
      <c r="K29" s="38">
        <f t="shared" si="1"/>
        <v>164</v>
      </c>
      <c r="L29" s="32">
        <f t="shared" si="2"/>
        <v>82</v>
      </c>
      <c r="M29" s="38" t="str">
        <f t="shared" si="3"/>
        <v>A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25</v>
      </c>
      <c r="H30" s="38">
        <f>VLOOKUP(C8,'2nd Term'!B9:AN48,25,FALSE)</f>
        <v>40</v>
      </c>
      <c r="I30" s="38">
        <f t="shared" si="0"/>
        <v>65</v>
      </c>
      <c r="J30" s="38">
        <f>(VLOOKUP(C8,'1st Term'!B9:AN48,24,FALSE))+(VLOOKUP(C8,'1st Term'!B9:AN48,25,FALSE))</f>
        <v>65</v>
      </c>
      <c r="K30" s="38">
        <f t="shared" si="1"/>
        <v>130</v>
      </c>
      <c r="L30" s="32">
        <f t="shared" si="2"/>
        <v>65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24</v>
      </c>
      <c r="H32" s="38">
        <f>VLOOKUP(C8,'2nd Term'!B9:AN48,29,FALSE)</f>
        <v>53</v>
      </c>
      <c r="I32" s="38">
        <f t="shared" si="0"/>
        <v>77</v>
      </c>
      <c r="J32" s="38">
        <f>(VLOOKUP(C8,'1st Term'!B9:AN48,28,FALSE))+(VLOOKUP(C8,'1st Term'!B9:AN48,29,FALSE))</f>
        <v>72</v>
      </c>
      <c r="K32" s="38">
        <f t="shared" si="1"/>
        <v>149</v>
      </c>
      <c r="L32" s="32">
        <f t="shared" si="2"/>
        <v>74.5</v>
      </c>
      <c r="M32" s="38" t="str">
        <f t="shared" si="3"/>
        <v>A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25</v>
      </c>
      <c r="H33" s="38">
        <f>VLOOKUP(C8,'2nd Term'!B9:AN48,31,FALSE)</f>
        <v>21</v>
      </c>
      <c r="I33" s="38">
        <f t="shared" si="0"/>
        <v>46</v>
      </c>
      <c r="J33" s="38">
        <f>(VLOOKUP(C8,'1st Term'!B9:AN48,30,FALSE))+(VLOOKUP(C8,'1st Term'!B9:AN48,31,FALSE))</f>
        <v>63</v>
      </c>
      <c r="K33" s="38">
        <f t="shared" si="1"/>
        <v>109</v>
      </c>
      <c r="L33" s="32">
        <f t="shared" si="2"/>
        <v>54.5</v>
      </c>
      <c r="M33" s="38" t="str">
        <f t="shared" si="3"/>
        <v>C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27</v>
      </c>
      <c r="H34" s="38">
        <f>VLOOKUP(C8,'2nd Term'!B9:AN48,33,FALSE)</f>
        <v>50</v>
      </c>
      <c r="I34" s="38">
        <f t="shared" si="0"/>
        <v>77</v>
      </c>
      <c r="J34" s="38">
        <f>(VLOOKUP(C8,'1st Term'!B9:AN48,32,FALSE))+(VLOOKUP(C8,'1st Term'!B9:AN48,33,FALSE))</f>
        <v>72</v>
      </c>
      <c r="K34" s="38">
        <f t="shared" si="1"/>
        <v>149</v>
      </c>
      <c r="L34" s="32">
        <f t="shared" si="2"/>
        <v>74.5</v>
      </c>
      <c r="M34" s="38" t="str">
        <f t="shared" si="3"/>
        <v>A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27</v>
      </c>
      <c r="H35" s="38">
        <f>VLOOKUP(C8,'2nd Term'!B9:AN48,35,FALSE)</f>
        <v>43</v>
      </c>
      <c r="I35" s="38">
        <f t="shared" si="0"/>
        <v>70</v>
      </c>
      <c r="J35" s="38">
        <f>(VLOOKUP(C8,'1st Term'!B9:AN48,34,FALSE))+(VLOOKUP(C8,'1st Term'!B9:AN48,35,FALSE))</f>
        <v>38</v>
      </c>
      <c r="K35" s="38">
        <f t="shared" si="1"/>
        <v>108</v>
      </c>
      <c r="L35" s="32">
        <f t="shared" si="2"/>
        <v>54</v>
      </c>
      <c r="M35" s="38" t="str">
        <f t="shared" si="3"/>
        <v>C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20</v>
      </c>
      <c r="H36" s="38">
        <f>VLOOKUP(C8,'2nd Term'!B9:AN48,37,FALSE)</f>
        <v>65</v>
      </c>
      <c r="I36" s="38">
        <f t="shared" si="0"/>
        <v>85</v>
      </c>
      <c r="J36" s="38">
        <f>(VLOOKUP(C8,'1st Term'!B9:AN48,36,FALSE))+(VLOOKUP(C8,'1st Term'!B9:AN48,37,FALSE))</f>
        <v>72</v>
      </c>
      <c r="K36" s="38">
        <f t="shared" si="1"/>
        <v>157</v>
      </c>
      <c r="L36" s="32">
        <f t="shared" si="2"/>
        <v>78.5</v>
      </c>
      <c r="M36" s="38" t="str">
        <f t="shared" si="3"/>
        <v>A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25</v>
      </c>
      <c r="H37" s="38">
        <f>VLOOKUP(C8,'2nd Term'!B9:AN48,39,FALSE)</f>
        <v>50</v>
      </c>
      <c r="I37" s="38">
        <f t="shared" si="0"/>
        <v>75</v>
      </c>
      <c r="J37" s="38">
        <f>(VLOOKUP(C8,'1st Term'!B9:AN48,38,FALSE))+(VLOOKUP(C8,'1st Term'!B9:AN48,39,FALSE))</f>
        <v>65</v>
      </c>
      <c r="K37" s="38">
        <f t="shared" si="1"/>
        <v>140</v>
      </c>
      <c r="L37" s="32">
        <f t="shared" si="2"/>
        <v>70</v>
      </c>
      <c r="M37" s="38" t="str">
        <f t="shared" si="3"/>
        <v>A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162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96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Nm1wpWsT055urifziivr2ua1UmV7xErdOUYoEjt8UnVxB4sgj4ErAbm10h1i5Rcnnh7zo5ww2ViPBX63j1dPpw==" saltValue="rq+CTB9SqfNTjbzv+BQoYQ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19" priority="1" operator="equal">
      <formula>"F"</formula>
    </cfRule>
    <cfRule type="cellIs" dxfId="18" priority="2" operator="equal">
      <formula>"P"</formula>
    </cfRule>
    <cfRule type="cellIs" dxfId="17" priority="3" operator="equal">
      <formula>"C"</formula>
    </cfRule>
    <cfRule type="cellIs" dxfId="16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14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4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A1:M51"/>
  <sheetViews>
    <sheetView workbookViewId="0">
      <selection activeCell="O13" sqref="O13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Term'!B27)</f>
        <v>ORIAKU BRIGHT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52.558823529411768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13th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55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118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52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26</v>
      </c>
      <c r="I19" s="38">
        <f>SUM(G19:H19)</f>
        <v>54</v>
      </c>
      <c r="J19" s="38">
        <f>(VLOOKUP(C8,'1st Term'!B9:AN48,2,FALSE))+(VLOOKUP(C8,'1st Term'!B9:AN48,3,FALSE))</f>
        <v>54</v>
      </c>
      <c r="K19" s="38">
        <f>SUM(I19:J19)</f>
        <v>108</v>
      </c>
      <c r="L19" s="32">
        <f>K19/2</f>
        <v>54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24</v>
      </c>
      <c r="H20" s="38">
        <f>VLOOKUP(C8,'2nd Term'!B9:AN48,5,FALSE)</f>
        <v>29</v>
      </c>
      <c r="I20" s="38">
        <f t="shared" ref="I20:I37" si="0">SUM(G20:H20)</f>
        <v>53</v>
      </c>
      <c r="J20" s="38">
        <f>(VLOOKUP(C8,'1st Term'!B9:AN48,4,FALSE))+(VLOOKUP(C8,'1st Term'!B9:AN48,5,FALSE))</f>
        <v>58</v>
      </c>
      <c r="K20" s="38">
        <f t="shared" ref="K20:K37" si="1">SUM(I20:J20)</f>
        <v>111</v>
      </c>
      <c r="L20" s="32">
        <f t="shared" ref="L20:L37" si="2">K20/2</f>
        <v>55.5</v>
      </c>
      <c r="M20" s="38" t="str">
        <f t="shared" ref="M20:M37" si="3">IF(L20&gt;=70,"A",IF(L20&gt;=50,"C",IF(L20&gt;=40,"P","F")))</f>
        <v>C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30</v>
      </c>
      <c r="H21" s="38">
        <f>VLOOKUP(C8,'2nd Term'!B9:AN48,7,FALSE)</f>
        <v>69</v>
      </c>
      <c r="I21" s="38">
        <f t="shared" si="0"/>
        <v>99</v>
      </c>
      <c r="J21" s="38">
        <f>(VLOOKUP(C8,'1st Term'!B9:AN48,6,FALSE))+(VLOOKUP(C8,'1st Term'!B9:AN48,7,FALSE))</f>
        <v>47</v>
      </c>
      <c r="K21" s="38">
        <f t="shared" si="1"/>
        <v>146</v>
      </c>
      <c r="L21" s="32">
        <f t="shared" si="2"/>
        <v>73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17</v>
      </c>
      <c r="H22" s="38">
        <f>VLOOKUP(C8,'2nd Term'!B9:AN48,9,FALSE)</f>
        <v>20</v>
      </c>
      <c r="I22" s="38">
        <f t="shared" si="0"/>
        <v>37</v>
      </c>
      <c r="J22" s="38">
        <f>(VLOOKUP(C8,'1st Term'!B9:AN48,8,FALSE))+(VLOOKUP(C8,'1st Term'!B9:AN48,9,FALSE))</f>
        <v>51</v>
      </c>
      <c r="K22" s="38">
        <f t="shared" si="1"/>
        <v>88</v>
      </c>
      <c r="L22" s="32">
        <f t="shared" si="2"/>
        <v>44</v>
      </c>
      <c r="M22" s="38" t="str">
        <f t="shared" si="3"/>
        <v>P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21</v>
      </c>
      <c r="H23" s="38">
        <f>VLOOKUP(C8,'2nd Term'!B9:AN48,11,FALSE)</f>
        <v>26</v>
      </c>
      <c r="I23" s="38">
        <f t="shared" si="0"/>
        <v>47</v>
      </c>
      <c r="J23" s="38">
        <f>(VLOOKUP(C8,'1st Term'!B9:AN48,10,FALSE))+(VLOOKUP(C8,'1st Term'!B9:AN48,11,FALSE))</f>
        <v>50</v>
      </c>
      <c r="K23" s="38">
        <f t="shared" si="1"/>
        <v>97</v>
      </c>
      <c r="L23" s="32">
        <f t="shared" si="2"/>
        <v>48.5</v>
      </c>
      <c r="M23" s="38" t="str">
        <f t="shared" si="3"/>
        <v>P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16</v>
      </c>
      <c r="H24" s="38">
        <f>VLOOKUP(C8,'2nd Term'!B9:AN48,13,FALSE)</f>
        <v>26</v>
      </c>
      <c r="I24" s="38">
        <f t="shared" si="0"/>
        <v>42</v>
      </c>
      <c r="J24" s="38">
        <f>(VLOOKUP(C8,'1st Term'!B9:AN48,12,FALSE))+(VLOOKUP(C8,'1st Term'!B9:AN48,13,FALSE))</f>
        <v>40</v>
      </c>
      <c r="K24" s="38">
        <f t="shared" si="1"/>
        <v>82</v>
      </c>
      <c r="L24" s="32">
        <f t="shared" si="2"/>
        <v>41</v>
      </c>
      <c r="M24" s="38" t="str">
        <f t="shared" si="3"/>
        <v>P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20</v>
      </c>
      <c r="H25" s="38">
        <f>VLOOKUP(C8,'2nd Term'!B9:AN48,15,FALSE)</f>
        <v>28</v>
      </c>
      <c r="I25" s="38">
        <f t="shared" si="0"/>
        <v>48</v>
      </c>
      <c r="J25" s="38">
        <f>(VLOOKUP(C8,'1st Term'!B9:AN48,14,FALSE))+(VLOOKUP(C8,'1st Term'!B9:AN48,15,FALSE))</f>
        <v>43</v>
      </c>
      <c r="K25" s="38">
        <f t="shared" si="1"/>
        <v>91</v>
      </c>
      <c r="L25" s="32">
        <f t="shared" si="2"/>
        <v>45.5</v>
      </c>
      <c r="M25" s="38" t="str">
        <f t="shared" si="3"/>
        <v>P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17</v>
      </c>
      <c r="H26" s="38">
        <f>VLOOKUP(C8,'2nd Term'!B9:AN48,17,FALSE)</f>
        <v>22</v>
      </c>
      <c r="I26" s="38">
        <f t="shared" si="0"/>
        <v>39</v>
      </c>
      <c r="J26" s="38">
        <f>(VLOOKUP(C8,'1st Term'!B9:AN48,16,FALSE))+(VLOOKUP(C8,'1st Term'!B9:AN48,17,FALSE))</f>
        <v>22</v>
      </c>
      <c r="K26" s="38">
        <f t="shared" si="1"/>
        <v>61</v>
      </c>
      <c r="L26" s="32">
        <f t="shared" si="2"/>
        <v>30.5</v>
      </c>
      <c r="M26" s="38" t="str">
        <f t="shared" si="3"/>
        <v>F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20</v>
      </c>
      <c r="H28" s="38">
        <f>VLOOKUP(C8,'2nd Term'!B9:AN48,21,FALSE)</f>
        <v>55</v>
      </c>
      <c r="I28" s="38">
        <f t="shared" si="0"/>
        <v>75</v>
      </c>
      <c r="J28" s="38">
        <f>(VLOOKUP(C8,'1st Term'!B9:AN48,20,FALSE))+(VLOOKUP(C8,'1st Term'!B9:AN48,21,FALSE))</f>
        <v>48</v>
      </c>
      <c r="K28" s="38">
        <f t="shared" si="1"/>
        <v>123</v>
      </c>
      <c r="L28" s="32">
        <f t="shared" si="2"/>
        <v>61.5</v>
      </c>
      <c r="M28" s="38" t="str">
        <f t="shared" si="3"/>
        <v>C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18</v>
      </c>
      <c r="H29" s="38">
        <f>VLOOKUP(C8,'2nd Term'!B9:AN48,23,FALSE)</f>
        <v>23</v>
      </c>
      <c r="I29" s="38">
        <f t="shared" si="0"/>
        <v>41</v>
      </c>
      <c r="J29" s="38">
        <f>(VLOOKUP(C8,'1st Term'!B9:AN48,22,FALSE))+(VLOOKUP(C8,'1st Term'!B9:AN48,23,FALSE))</f>
        <v>53</v>
      </c>
      <c r="K29" s="38">
        <f t="shared" si="1"/>
        <v>94</v>
      </c>
      <c r="L29" s="32">
        <f t="shared" si="2"/>
        <v>47</v>
      </c>
      <c r="M29" s="38" t="str">
        <f t="shared" si="3"/>
        <v>P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23</v>
      </c>
      <c r="H30" s="38">
        <f>VLOOKUP(C8,'2nd Term'!B9:AN48,25,FALSE)</f>
        <v>38</v>
      </c>
      <c r="I30" s="38">
        <f t="shared" si="0"/>
        <v>61</v>
      </c>
      <c r="J30" s="38">
        <f>(VLOOKUP(C8,'1st Term'!B9:AN48,24,FALSE))+(VLOOKUP(C8,'1st Term'!B9:AN48,25,FALSE))</f>
        <v>62</v>
      </c>
      <c r="K30" s="38">
        <f t="shared" si="1"/>
        <v>123</v>
      </c>
      <c r="L30" s="32">
        <f t="shared" si="2"/>
        <v>61.5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12</v>
      </c>
      <c r="H32" s="38">
        <f>VLOOKUP(C8,'2nd Term'!B9:AN48,29,FALSE)</f>
        <v>26</v>
      </c>
      <c r="I32" s="38">
        <f t="shared" si="0"/>
        <v>38</v>
      </c>
      <c r="J32" s="38">
        <f>(VLOOKUP(C8,'1st Term'!B9:AN48,28,FALSE))+(VLOOKUP(C8,'1st Term'!B9:AN48,29,FALSE))</f>
        <v>27</v>
      </c>
      <c r="K32" s="38">
        <f t="shared" si="1"/>
        <v>65</v>
      </c>
      <c r="L32" s="32">
        <f t="shared" si="2"/>
        <v>32.5</v>
      </c>
      <c r="M32" s="38" t="str">
        <f t="shared" si="3"/>
        <v>F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20</v>
      </c>
      <c r="H33" s="38">
        <f>VLOOKUP(C8,'2nd Term'!B9:AN48,31,FALSE)</f>
        <v>53</v>
      </c>
      <c r="I33" s="38">
        <f t="shared" si="0"/>
        <v>73</v>
      </c>
      <c r="J33" s="38">
        <f>(VLOOKUP(C8,'1st Term'!B9:AN48,30,FALSE))+(VLOOKUP(C8,'1st Term'!B9:AN48,31,FALSE))</f>
        <v>81</v>
      </c>
      <c r="K33" s="38">
        <f t="shared" si="1"/>
        <v>154</v>
      </c>
      <c r="L33" s="32">
        <f t="shared" si="2"/>
        <v>77</v>
      </c>
      <c r="M33" s="38" t="str">
        <f t="shared" si="3"/>
        <v>A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27</v>
      </c>
      <c r="H34" s="38">
        <f>VLOOKUP(C8,'2nd Term'!B9:AN48,33,FALSE)</f>
        <v>35</v>
      </c>
      <c r="I34" s="38">
        <f t="shared" si="0"/>
        <v>62</v>
      </c>
      <c r="J34" s="38">
        <f>(VLOOKUP(C8,'1st Term'!B9:AN48,32,FALSE))+(VLOOKUP(C8,'1st Term'!B9:AN48,33,FALSE))</f>
        <v>57</v>
      </c>
      <c r="K34" s="38">
        <f t="shared" si="1"/>
        <v>119</v>
      </c>
      <c r="L34" s="32">
        <f t="shared" si="2"/>
        <v>59.5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26</v>
      </c>
      <c r="H35" s="38">
        <f>VLOOKUP(C8,'2nd Term'!B9:AN48,35,FALSE)</f>
        <v>29</v>
      </c>
      <c r="I35" s="38">
        <f t="shared" si="0"/>
        <v>55</v>
      </c>
      <c r="J35" s="38">
        <f>(VLOOKUP(C8,'1st Term'!B9:AN48,34,FALSE))+(VLOOKUP(C8,'1st Term'!B9:AN48,35,FALSE))</f>
        <v>28</v>
      </c>
      <c r="K35" s="38">
        <f t="shared" si="1"/>
        <v>83</v>
      </c>
      <c r="L35" s="32">
        <f t="shared" si="2"/>
        <v>41.5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18</v>
      </c>
      <c r="H36" s="38">
        <f>VLOOKUP(C8,'2nd Term'!B9:AN48,37,FALSE)</f>
        <v>44</v>
      </c>
      <c r="I36" s="38">
        <f t="shared" si="0"/>
        <v>62</v>
      </c>
      <c r="J36" s="38">
        <f>(VLOOKUP(C8,'1st Term'!B9:AN48,36,FALSE))+(VLOOKUP(C8,'1st Term'!B9:AN48,37,FALSE))</f>
        <v>46</v>
      </c>
      <c r="K36" s="38">
        <f t="shared" si="1"/>
        <v>108</v>
      </c>
      <c r="L36" s="32">
        <f t="shared" si="2"/>
        <v>54</v>
      </c>
      <c r="M36" s="38" t="str">
        <f t="shared" si="3"/>
        <v>C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24</v>
      </c>
      <c r="H37" s="38">
        <f>VLOOKUP(C8,'2nd Term'!B9:AN48,39,FALSE)</f>
        <v>42</v>
      </c>
      <c r="I37" s="38">
        <f t="shared" si="0"/>
        <v>66</v>
      </c>
      <c r="J37" s="38">
        <f>(VLOOKUP(C8,'1st Term'!B9:AN48,38,FALSE))+(VLOOKUP(C8,'1st Term'!B9:AN48,39,FALSE))</f>
        <v>68</v>
      </c>
      <c r="K37" s="38">
        <f t="shared" si="1"/>
        <v>134</v>
      </c>
      <c r="L37" s="32">
        <f t="shared" si="2"/>
        <v>67</v>
      </c>
      <c r="M37" s="38" t="str">
        <f t="shared" si="3"/>
        <v>C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104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mRcMVUPLqhM7iAr3LJWsLPXW4Mz++n9VjznESkDC78ib160W5foiT0ucIHZxxUU+Uq3oe8ExDfzGKFQc/7NS3Q==" saltValue="LglvpsGZZxEySqii4rDZ7Q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15" priority="1" operator="equal">
      <formula>"F"</formula>
    </cfRule>
    <cfRule type="cellIs" dxfId="14" priority="2" operator="equal">
      <formula>"P"</formula>
    </cfRule>
    <cfRule type="cellIs" dxfId="13" priority="3" operator="equal">
      <formula>"C"</formula>
    </cfRule>
    <cfRule type="cellIs" dxfId="12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0000000}">
          <x14:formula1>
            <xm:f>comments!$H$8:$H$12</xm:f>
          </x14:formula1>
          <xm:sqref>M14:M17</xm:sqref>
        </x14:dataValidation>
        <x14:dataValidation type="list" allowBlank="1" showInputMessage="1" showErrorMessage="1" xr:uid="{00000000-0002-0000-15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500-000002000000}">
          <x14:formula1>
            <xm:f>comments!$F$8:$F$64</xm:f>
          </x14:formula1>
          <xm:sqref>A45:M45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30A0"/>
  </sheetPr>
  <dimension ref="A1:M51"/>
  <sheetViews>
    <sheetView workbookViewId="0">
      <selection activeCell="N4" sqref="N4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Term'!B28)</f>
        <v>SAKA FAREED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72.117647058823536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2nd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64"/>
      <c r="L13" s="64"/>
      <c r="M13" s="64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55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51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121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55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51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30</v>
      </c>
      <c r="H19" s="38">
        <f>VLOOKUP(C8,'2nd Term'!B9:AN48,3,FALSE)</f>
        <v>68</v>
      </c>
      <c r="I19" s="38">
        <f>SUM(G19:H19)</f>
        <v>98</v>
      </c>
      <c r="J19" s="38">
        <f>(VLOOKUP(C8,'1st Term'!B9:AN48,2,FALSE))+(VLOOKUP(C8,'1st Term'!B9:AN48,3,FALSE))</f>
        <v>96</v>
      </c>
      <c r="K19" s="38">
        <f>SUM(I19:J19)</f>
        <v>194</v>
      </c>
      <c r="L19" s="32">
        <f>K19/2</f>
        <v>97</v>
      </c>
      <c r="M19" s="38" t="str">
        <f>IF(L19&gt;=70,"A",IF(L19&gt;=50,"C",IF(L19&gt;=40,"P","F")))</f>
        <v>A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30</v>
      </c>
      <c r="H20" s="38">
        <f>VLOOKUP(C8,'2nd Term'!B9:AN48,5,FALSE)</f>
        <v>63</v>
      </c>
      <c r="I20" s="38">
        <f t="shared" ref="I20:I37" si="0">SUM(G20:H20)</f>
        <v>93</v>
      </c>
      <c r="J20" s="38">
        <f>(VLOOKUP(C8,'1st Term'!B9:AN48,4,FALSE))+(VLOOKUP(C8,'1st Term'!B9:AN48,5,FALSE))</f>
        <v>85</v>
      </c>
      <c r="K20" s="38">
        <f t="shared" ref="K20:K37" si="1">SUM(I20:J20)</f>
        <v>178</v>
      </c>
      <c r="L20" s="32">
        <f t="shared" ref="L20:L37" si="2">K20/2</f>
        <v>89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30</v>
      </c>
      <c r="H21" s="38">
        <f>VLOOKUP(C8,'2nd Term'!B9:AN48,7,FALSE)</f>
        <v>69</v>
      </c>
      <c r="I21" s="38">
        <f t="shared" si="0"/>
        <v>99</v>
      </c>
      <c r="J21" s="38">
        <f>(VLOOKUP(C8,'1st Term'!B9:AN48,6,FALSE))+(VLOOKUP(C8,'1st Term'!B9:AN48,7,FALSE))</f>
        <v>92</v>
      </c>
      <c r="K21" s="38">
        <f t="shared" si="1"/>
        <v>191</v>
      </c>
      <c r="L21" s="32">
        <f t="shared" si="2"/>
        <v>95.5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20</v>
      </c>
      <c r="H22" s="38">
        <f>VLOOKUP(C8,'2nd Term'!B9:AN48,9,FALSE)</f>
        <v>30</v>
      </c>
      <c r="I22" s="38">
        <f t="shared" si="0"/>
        <v>50</v>
      </c>
      <c r="J22" s="38">
        <f>(VLOOKUP(C8,'1st Term'!B9:AN48,8,FALSE))+(VLOOKUP(C8,'1st Term'!B9:AN48,9,FALSE))</f>
        <v>76</v>
      </c>
      <c r="K22" s="38">
        <f t="shared" si="1"/>
        <v>126</v>
      </c>
      <c r="L22" s="32">
        <f t="shared" si="2"/>
        <v>63</v>
      </c>
      <c r="M22" s="38" t="str">
        <f t="shared" si="3"/>
        <v>C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23</v>
      </c>
      <c r="H23" s="38">
        <f>VLOOKUP(C8,'2nd Term'!B9:AN48,11,FALSE)</f>
        <v>50</v>
      </c>
      <c r="I23" s="38">
        <f t="shared" si="0"/>
        <v>73</v>
      </c>
      <c r="J23" s="38">
        <f>(VLOOKUP(C8,'1st Term'!B9:AN48,10,FALSE))+(VLOOKUP(C8,'1st Term'!B9:AN48,11,FALSE))</f>
        <v>53</v>
      </c>
      <c r="K23" s="38">
        <f t="shared" si="1"/>
        <v>126</v>
      </c>
      <c r="L23" s="32">
        <f t="shared" si="2"/>
        <v>63</v>
      </c>
      <c r="M23" s="38" t="str">
        <f t="shared" si="3"/>
        <v>C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23</v>
      </c>
      <c r="H24" s="38">
        <f>VLOOKUP(C8,'2nd Term'!B9:AN48,13,FALSE)</f>
        <v>41</v>
      </c>
      <c r="I24" s="38">
        <f t="shared" si="0"/>
        <v>64</v>
      </c>
      <c r="J24" s="38">
        <f>(VLOOKUP(C8,'1st Term'!B9:AN48,12,FALSE))+(VLOOKUP(C8,'1st Term'!B9:AN48,13,FALSE))</f>
        <v>60</v>
      </c>
      <c r="K24" s="38">
        <f t="shared" si="1"/>
        <v>124</v>
      </c>
      <c r="L24" s="32">
        <f t="shared" si="2"/>
        <v>62</v>
      </c>
      <c r="M24" s="38" t="str">
        <f t="shared" si="3"/>
        <v>C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26</v>
      </c>
      <c r="H25" s="38">
        <f>VLOOKUP(C8,'2nd Term'!B9:AN48,15,FALSE)</f>
        <v>28</v>
      </c>
      <c r="I25" s="38">
        <f t="shared" si="0"/>
        <v>54</v>
      </c>
      <c r="J25" s="38">
        <f>(VLOOKUP(C8,'1st Term'!B9:AN48,14,FALSE))+(VLOOKUP(C8,'1st Term'!B9:AN48,15,FALSE))</f>
        <v>56</v>
      </c>
      <c r="K25" s="38">
        <f t="shared" si="1"/>
        <v>110</v>
      </c>
      <c r="L25" s="32">
        <f t="shared" si="2"/>
        <v>55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27</v>
      </c>
      <c r="H26" s="38">
        <f>VLOOKUP(C8,'2nd Term'!B9:AN48,17,FALSE)</f>
        <v>65</v>
      </c>
      <c r="I26" s="38">
        <f t="shared" si="0"/>
        <v>92</v>
      </c>
      <c r="J26" s="38">
        <f>(VLOOKUP(C8,'1st Term'!B9:AN48,16,FALSE))+(VLOOKUP(C8,'1st Term'!B9:AN48,17,FALSE))</f>
        <v>46</v>
      </c>
      <c r="K26" s="38">
        <f t="shared" si="1"/>
        <v>138</v>
      </c>
      <c r="L26" s="32">
        <f t="shared" si="2"/>
        <v>69</v>
      </c>
      <c r="M26" s="38" t="str">
        <f t="shared" si="3"/>
        <v>C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16</v>
      </c>
      <c r="H28" s="38">
        <f>VLOOKUP(C8,'2nd Term'!B9:AN48,21,FALSE)</f>
        <v>33</v>
      </c>
      <c r="I28" s="38">
        <f t="shared" si="0"/>
        <v>49</v>
      </c>
      <c r="J28" s="38">
        <f>(VLOOKUP(C8,'1st Term'!B9:AN48,20,FALSE))+(VLOOKUP(C8,'1st Term'!B9:AN48,21,FALSE))</f>
        <v>37</v>
      </c>
      <c r="K28" s="38">
        <f t="shared" si="1"/>
        <v>86</v>
      </c>
      <c r="L28" s="32">
        <f t="shared" si="2"/>
        <v>43</v>
      </c>
      <c r="M28" s="38" t="str">
        <f t="shared" si="3"/>
        <v>P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28</v>
      </c>
      <c r="H29" s="38">
        <f>VLOOKUP(C8,'2nd Term'!B9:AN48,23,FALSE)</f>
        <v>56</v>
      </c>
      <c r="I29" s="38">
        <f t="shared" si="0"/>
        <v>84</v>
      </c>
      <c r="J29" s="38">
        <f>(VLOOKUP(C8,'1st Term'!B9:AN48,22,FALSE))+(VLOOKUP(C8,'1st Term'!B9:AN48,23,FALSE))</f>
        <v>75</v>
      </c>
      <c r="K29" s="38">
        <f t="shared" si="1"/>
        <v>159</v>
      </c>
      <c r="L29" s="32">
        <f t="shared" si="2"/>
        <v>79.5</v>
      </c>
      <c r="M29" s="38" t="str">
        <f t="shared" si="3"/>
        <v>A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24</v>
      </c>
      <c r="H30" s="38">
        <f>VLOOKUP(C8,'2nd Term'!B9:AN48,25,FALSE)</f>
        <v>46</v>
      </c>
      <c r="I30" s="38">
        <f t="shared" si="0"/>
        <v>70</v>
      </c>
      <c r="J30" s="38">
        <f>(VLOOKUP(C8,'1st Term'!B9:AN48,24,FALSE))+(VLOOKUP(C8,'1st Term'!B9:AN48,25,FALSE))</f>
        <v>75</v>
      </c>
      <c r="K30" s="38">
        <f t="shared" si="1"/>
        <v>145</v>
      </c>
      <c r="L30" s="32">
        <f t="shared" si="2"/>
        <v>72.5</v>
      </c>
      <c r="M30" s="38" t="str">
        <f t="shared" si="3"/>
        <v>A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19</v>
      </c>
      <c r="H32" s="38">
        <f>VLOOKUP(C8,'2nd Term'!B9:AN48,29,FALSE)</f>
        <v>33</v>
      </c>
      <c r="I32" s="38">
        <f t="shared" si="0"/>
        <v>52</v>
      </c>
      <c r="J32" s="38">
        <f>(VLOOKUP(C8,'1st Term'!B9:AN48,28,FALSE))+(VLOOKUP(C8,'1st Term'!B9:AN48,29,FALSE))</f>
        <v>79</v>
      </c>
      <c r="K32" s="38">
        <f t="shared" si="1"/>
        <v>131</v>
      </c>
      <c r="L32" s="32">
        <f t="shared" si="2"/>
        <v>65.5</v>
      </c>
      <c r="M32" s="38" t="str">
        <f t="shared" si="3"/>
        <v>C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30</v>
      </c>
      <c r="H33" s="38">
        <f>VLOOKUP(C8,'2nd Term'!B9:AN48,31,FALSE)</f>
        <v>64</v>
      </c>
      <c r="I33" s="38">
        <f t="shared" si="0"/>
        <v>94</v>
      </c>
      <c r="J33" s="38">
        <f>(VLOOKUP(C8,'1st Term'!B9:AN48,30,FALSE))+(VLOOKUP(C8,'1st Term'!B9:AN48,31,FALSE))</f>
        <v>85</v>
      </c>
      <c r="K33" s="38">
        <f t="shared" si="1"/>
        <v>179</v>
      </c>
      <c r="L33" s="32">
        <f t="shared" si="2"/>
        <v>89.5</v>
      </c>
      <c r="M33" s="38" t="str">
        <f t="shared" si="3"/>
        <v>A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30</v>
      </c>
      <c r="H34" s="38">
        <f>VLOOKUP(C8,'2nd Term'!B9:AN48,33,FALSE)</f>
        <v>64</v>
      </c>
      <c r="I34" s="38">
        <f t="shared" si="0"/>
        <v>94</v>
      </c>
      <c r="J34" s="38">
        <f>(VLOOKUP(C8,'1st Term'!B9:AN48,32,FALSE))+(VLOOKUP(C8,'1st Term'!B9:AN48,33,FALSE))</f>
        <v>82</v>
      </c>
      <c r="K34" s="38">
        <f t="shared" si="1"/>
        <v>176</v>
      </c>
      <c r="L34" s="32">
        <f t="shared" si="2"/>
        <v>88</v>
      </c>
      <c r="M34" s="38" t="str">
        <f t="shared" si="3"/>
        <v>A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24</v>
      </c>
      <c r="H35" s="38">
        <f>VLOOKUP(C8,'2nd Term'!B9:AN48,35,FALSE)</f>
        <v>36</v>
      </c>
      <c r="I35" s="38">
        <f t="shared" si="0"/>
        <v>60</v>
      </c>
      <c r="J35" s="38">
        <f>(VLOOKUP(C8,'1st Term'!B9:AN48,34,FALSE))+(VLOOKUP(C8,'1st Term'!B9:AN48,35,FALSE))</f>
        <v>53</v>
      </c>
      <c r="K35" s="38">
        <f t="shared" si="1"/>
        <v>113</v>
      </c>
      <c r="L35" s="32">
        <f t="shared" si="2"/>
        <v>56.5</v>
      </c>
      <c r="M35" s="38" t="str">
        <f t="shared" si="3"/>
        <v>C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19</v>
      </c>
      <c r="H36" s="38">
        <f>VLOOKUP(C8,'2nd Term'!B9:AN48,37,FALSE)</f>
        <v>57</v>
      </c>
      <c r="I36" s="38">
        <f t="shared" si="0"/>
        <v>76</v>
      </c>
      <c r="J36" s="38">
        <f>(VLOOKUP(C8,'1st Term'!B9:AN48,36,FALSE))+(VLOOKUP(C8,'1st Term'!B9:AN48,37,FALSE))</f>
        <v>61</v>
      </c>
      <c r="K36" s="38">
        <f t="shared" si="1"/>
        <v>137</v>
      </c>
      <c r="L36" s="32">
        <f t="shared" si="2"/>
        <v>68.5</v>
      </c>
      <c r="M36" s="38" t="str">
        <f t="shared" si="3"/>
        <v>C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25</v>
      </c>
      <c r="H37" s="38">
        <f>VLOOKUP(C8,'2nd Term'!B9:AN48,39,FALSE)</f>
        <v>51</v>
      </c>
      <c r="I37" s="38">
        <f t="shared" si="0"/>
        <v>76</v>
      </c>
      <c r="J37" s="38">
        <f>(VLOOKUP(C8,'1st Term'!B9:AN48,38,FALSE))+(VLOOKUP(C8,'1st Term'!B9:AN48,39,FALSE))</f>
        <v>63</v>
      </c>
      <c r="K37" s="38">
        <f t="shared" si="1"/>
        <v>139</v>
      </c>
      <c r="L37" s="32">
        <f t="shared" si="2"/>
        <v>69.5</v>
      </c>
      <c r="M37" s="38" t="str">
        <f t="shared" si="3"/>
        <v>C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171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96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nBzJQuk4mryh/8EoTM6uv8wBrVfn0OESOzwbFV+yl1Z9gC0pa4XE9WcaYXFKWixhSMwvwlMry1Q/ZfGhxS9Z0Q==" saltValue="ehDnoarCvxmWhVOidatxVw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11" priority="1" operator="equal">
      <formula>"F"</formula>
    </cfRule>
    <cfRule type="cellIs" dxfId="10" priority="2" operator="equal">
      <formula>"P"</formula>
    </cfRule>
    <cfRule type="cellIs" dxfId="9" priority="3" operator="equal">
      <formula>"C"</formula>
    </cfRule>
    <cfRule type="cellIs" dxfId="8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16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6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M51"/>
  <sheetViews>
    <sheetView workbookViewId="0">
      <selection activeCell="O3" sqref="O3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Term'!B29)</f>
        <v>VICTOR LOVETH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66.235294117647058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7th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64"/>
      <c r="L13" s="64"/>
      <c r="M13" s="64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55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116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52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51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62</v>
      </c>
      <c r="I19" s="38">
        <f>SUM(G19:H19)</f>
        <v>90</v>
      </c>
      <c r="J19" s="38">
        <f>(VLOOKUP(C8,'1st Term'!B9:AN48,2,FALSE))+(VLOOKUP(C8,'1st Term'!B9:AN48,3,FALSE))</f>
        <v>90</v>
      </c>
      <c r="K19" s="38">
        <f>SUM(I19:J19)</f>
        <v>180</v>
      </c>
      <c r="L19" s="32">
        <f>K19/2</f>
        <v>90</v>
      </c>
      <c r="M19" s="38" t="str">
        <f>IF(L19&gt;=70,"A",IF(L19&gt;=50,"C",IF(L19&gt;=40,"P","F")))</f>
        <v>A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27</v>
      </c>
      <c r="H20" s="38">
        <f>VLOOKUP(C8,'2nd Term'!B9:AN48,5,FALSE)</f>
        <v>61</v>
      </c>
      <c r="I20" s="38">
        <f t="shared" ref="I20:I37" si="0">SUM(G20:H20)</f>
        <v>88</v>
      </c>
      <c r="J20" s="38">
        <f>(VLOOKUP(C8,'1st Term'!B9:AN48,4,FALSE))+(VLOOKUP(C8,'1st Term'!B9:AN48,5,FALSE))</f>
        <v>74</v>
      </c>
      <c r="K20" s="38">
        <f t="shared" ref="K20:K37" si="1">SUM(I20:J20)</f>
        <v>162</v>
      </c>
      <c r="L20" s="32">
        <f t="shared" ref="L20:L37" si="2">K20/2</f>
        <v>81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30</v>
      </c>
      <c r="H21" s="38">
        <f>VLOOKUP(C8,'2nd Term'!B9:AN48,7,FALSE)</f>
        <v>64</v>
      </c>
      <c r="I21" s="38">
        <f t="shared" si="0"/>
        <v>94</v>
      </c>
      <c r="J21" s="38">
        <f>(VLOOKUP(C8,'1st Term'!B9:AN48,6,FALSE))+(VLOOKUP(C8,'1st Term'!B9:AN48,7,FALSE))</f>
        <v>82</v>
      </c>
      <c r="K21" s="38">
        <f t="shared" si="1"/>
        <v>176</v>
      </c>
      <c r="L21" s="32">
        <f t="shared" si="2"/>
        <v>88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22</v>
      </c>
      <c r="H22" s="38">
        <f>VLOOKUP(C8,'2nd Term'!B9:AN48,9,FALSE)</f>
        <v>43</v>
      </c>
      <c r="I22" s="38">
        <f t="shared" si="0"/>
        <v>65</v>
      </c>
      <c r="J22" s="38">
        <f>(VLOOKUP(C8,'1st Term'!B9:AN48,8,FALSE))+(VLOOKUP(C8,'1st Term'!B9:AN48,9,FALSE))</f>
        <v>55</v>
      </c>
      <c r="K22" s="38">
        <f t="shared" si="1"/>
        <v>120</v>
      </c>
      <c r="L22" s="32">
        <f t="shared" si="2"/>
        <v>60</v>
      </c>
      <c r="M22" s="38" t="str">
        <f t="shared" si="3"/>
        <v>C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30</v>
      </c>
      <c r="H23" s="38">
        <f>VLOOKUP(C8,'2nd Term'!B9:AN48,11,FALSE)</f>
        <v>62</v>
      </c>
      <c r="I23" s="38">
        <f t="shared" si="0"/>
        <v>92</v>
      </c>
      <c r="J23" s="38">
        <f>(VLOOKUP(C8,'1st Term'!B9:AN48,10,FALSE))+(VLOOKUP(C8,'1st Term'!B9:AN48,11,FALSE))</f>
        <v>68</v>
      </c>
      <c r="K23" s="38">
        <f t="shared" si="1"/>
        <v>160</v>
      </c>
      <c r="L23" s="32">
        <f t="shared" si="2"/>
        <v>80</v>
      </c>
      <c r="M23" s="38" t="str">
        <f t="shared" si="3"/>
        <v>A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21</v>
      </c>
      <c r="H24" s="38">
        <f>VLOOKUP(C8,'2nd Term'!B9:AN48,13,FALSE)</f>
        <v>20</v>
      </c>
      <c r="I24" s="38">
        <f t="shared" si="0"/>
        <v>41</v>
      </c>
      <c r="J24" s="38">
        <f>(VLOOKUP(C8,'1st Term'!B9:AN48,12,FALSE))+(VLOOKUP(C8,'1st Term'!B9:AN48,13,FALSE))</f>
        <v>35</v>
      </c>
      <c r="K24" s="38">
        <f t="shared" si="1"/>
        <v>76</v>
      </c>
      <c r="L24" s="32">
        <f t="shared" si="2"/>
        <v>38</v>
      </c>
      <c r="M24" s="38" t="str">
        <f t="shared" si="3"/>
        <v>F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25</v>
      </c>
      <c r="H25" s="38">
        <f>VLOOKUP(C8,'2nd Term'!B9:AN48,15,FALSE)</f>
        <v>45</v>
      </c>
      <c r="I25" s="38">
        <f t="shared" si="0"/>
        <v>70</v>
      </c>
      <c r="J25" s="38">
        <f>(VLOOKUP(C8,'1st Term'!B9:AN48,14,FALSE))+(VLOOKUP(C8,'1st Term'!B9:AN48,15,FALSE))</f>
        <v>31</v>
      </c>
      <c r="K25" s="38">
        <f t="shared" si="1"/>
        <v>101</v>
      </c>
      <c r="L25" s="32">
        <f t="shared" si="2"/>
        <v>50.5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22</v>
      </c>
      <c r="H26" s="38">
        <f>VLOOKUP(C8,'2nd Term'!B9:AN48,17,FALSE)</f>
        <v>48</v>
      </c>
      <c r="I26" s="38">
        <f t="shared" si="0"/>
        <v>70</v>
      </c>
      <c r="J26" s="38">
        <f>(VLOOKUP(C8,'1st Term'!B9:AN48,16,FALSE))+(VLOOKUP(C8,'1st Term'!B9:AN48,17,FALSE))</f>
        <v>40</v>
      </c>
      <c r="K26" s="38">
        <f t="shared" si="1"/>
        <v>110</v>
      </c>
      <c r="L26" s="32">
        <f t="shared" si="2"/>
        <v>55</v>
      </c>
      <c r="M26" s="38" t="str">
        <f t="shared" si="3"/>
        <v>C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27</v>
      </c>
      <c r="H28" s="38">
        <f>VLOOKUP(C8,'2nd Term'!B9:AN48,21,FALSE)</f>
        <v>61</v>
      </c>
      <c r="I28" s="38">
        <f t="shared" si="0"/>
        <v>88</v>
      </c>
      <c r="J28" s="38">
        <f>(VLOOKUP(C8,'1st Term'!B9:AN48,20,FALSE))+(VLOOKUP(C8,'1st Term'!B9:AN48,21,FALSE))</f>
        <v>72</v>
      </c>
      <c r="K28" s="38">
        <f t="shared" si="1"/>
        <v>160</v>
      </c>
      <c r="L28" s="32">
        <f t="shared" si="2"/>
        <v>80</v>
      </c>
      <c r="M28" s="38" t="str">
        <f t="shared" si="3"/>
        <v>A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29</v>
      </c>
      <c r="H29" s="38">
        <f>VLOOKUP(C8,'2nd Term'!B9:AN48,23,FALSE)</f>
        <v>52</v>
      </c>
      <c r="I29" s="38">
        <f t="shared" si="0"/>
        <v>81</v>
      </c>
      <c r="J29" s="38">
        <f>(VLOOKUP(C8,'1st Term'!B9:AN48,22,FALSE))+(VLOOKUP(C8,'1st Term'!B9:AN48,23,FALSE))</f>
        <v>76</v>
      </c>
      <c r="K29" s="38">
        <f t="shared" si="1"/>
        <v>157</v>
      </c>
      <c r="L29" s="32">
        <f t="shared" si="2"/>
        <v>78.5</v>
      </c>
      <c r="M29" s="38" t="str">
        <f t="shared" si="3"/>
        <v>A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22</v>
      </c>
      <c r="H30" s="38">
        <f>VLOOKUP(C8,'2nd Term'!B9:AN48,25,FALSE)</f>
        <v>38</v>
      </c>
      <c r="I30" s="38">
        <f t="shared" si="0"/>
        <v>60</v>
      </c>
      <c r="J30" s="38">
        <f>(VLOOKUP(C8,'1st Term'!B9:AN48,24,FALSE))+(VLOOKUP(C8,'1st Term'!B9:AN48,25,FALSE))</f>
        <v>50</v>
      </c>
      <c r="K30" s="38">
        <f t="shared" si="1"/>
        <v>110</v>
      </c>
      <c r="L30" s="32">
        <f t="shared" si="2"/>
        <v>55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29</v>
      </c>
      <c r="H32" s="38">
        <f>VLOOKUP(C8,'2nd Term'!B9:AN48,29,FALSE)</f>
        <v>16</v>
      </c>
      <c r="I32" s="38">
        <f t="shared" si="0"/>
        <v>45</v>
      </c>
      <c r="J32" s="38">
        <f>(VLOOKUP(C8,'1st Term'!B9:AN48,28,FALSE))+(VLOOKUP(C8,'1st Term'!B9:AN48,29,FALSE))</f>
        <v>56</v>
      </c>
      <c r="K32" s="38">
        <f t="shared" si="1"/>
        <v>101</v>
      </c>
      <c r="L32" s="32">
        <f t="shared" si="2"/>
        <v>50.5</v>
      </c>
      <c r="M32" s="38" t="str">
        <f t="shared" si="3"/>
        <v>C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25</v>
      </c>
      <c r="H33" s="38">
        <f>VLOOKUP(C8,'2nd Term'!B9:AN48,31,FALSE)</f>
        <v>45</v>
      </c>
      <c r="I33" s="38">
        <f t="shared" si="0"/>
        <v>70</v>
      </c>
      <c r="J33" s="38">
        <f>(VLOOKUP(C8,'1st Term'!B9:AN48,30,FALSE))+(VLOOKUP(C8,'1st Term'!B9:AN48,31,FALSE))</f>
        <v>57</v>
      </c>
      <c r="K33" s="38">
        <f t="shared" si="1"/>
        <v>127</v>
      </c>
      <c r="L33" s="32">
        <f t="shared" si="2"/>
        <v>63.5</v>
      </c>
      <c r="M33" s="38" t="str">
        <f t="shared" si="3"/>
        <v>C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27</v>
      </c>
      <c r="H34" s="38">
        <f>VLOOKUP(C8,'2nd Term'!B9:AN48,33,FALSE)</f>
        <v>45</v>
      </c>
      <c r="I34" s="38">
        <f t="shared" si="0"/>
        <v>72</v>
      </c>
      <c r="J34" s="38">
        <f>(VLOOKUP(C8,'1st Term'!B9:AN48,32,FALSE))+(VLOOKUP(C8,'1st Term'!B9:AN48,33,FALSE))</f>
        <v>72</v>
      </c>
      <c r="K34" s="38">
        <f t="shared" si="1"/>
        <v>144</v>
      </c>
      <c r="L34" s="32">
        <f t="shared" si="2"/>
        <v>72</v>
      </c>
      <c r="M34" s="38" t="str">
        <f t="shared" si="3"/>
        <v>A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25</v>
      </c>
      <c r="H35" s="38">
        <f>VLOOKUP(C8,'2nd Term'!B9:AN48,35,FALSE)</f>
        <v>29</v>
      </c>
      <c r="I35" s="38">
        <f t="shared" si="0"/>
        <v>54</v>
      </c>
      <c r="J35" s="38">
        <f>(VLOOKUP(C8,'1st Term'!B9:AN48,34,FALSE))+(VLOOKUP(C8,'1st Term'!B9:AN48,35,FALSE))</f>
        <v>40</v>
      </c>
      <c r="K35" s="38">
        <f t="shared" si="1"/>
        <v>94</v>
      </c>
      <c r="L35" s="32">
        <f t="shared" si="2"/>
        <v>47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25</v>
      </c>
      <c r="H36" s="38">
        <f>VLOOKUP(C8,'2nd Term'!B9:AN48,37,FALSE)</f>
        <v>45</v>
      </c>
      <c r="I36" s="38">
        <f t="shared" si="0"/>
        <v>70</v>
      </c>
      <c r="J36" s="38">
        <f>(VLOOKUP(C8,'1st Term'!B9:AN48,36,FALSE))+(VLOOKUP(C8,'1st Term'!B9:AN48,37,FALSE))</f>
        <v>50</v>
      </c>
      <c r="K36" s="38">
        <f t="shared" si="1"/>
        <v>120</v>
      </c>
      <c r="L36" s="32">
        <f t="shared" si="2"/>
        <v>60</v>
      </c>
      <c r="M36" s="38" t="str">
        <f t="shared" si="3"/>
        <v>C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27</v>
      </c>
      <c r="H37" s="38">
        <f>VLOOKUP(C8,'2nd Term'!B9:AN48,39,FALSE)</f>
        <v>47</v>
      </c>
      <c r="I37" s="38">
        <f t="shared" si="0"/>
        <v>74</v>
      </c>
      <c r="J37" s="38">
        <f>(VLOOKUP(C8,'1st Term'!B9:AN48,38,FALSE))+(VLOOKUP(C8,'1st Term'!B9:AN48,39,FALSE))</f>
        <v>80</v>
      </c>
      <c r="K37" s="38">
        <f t="shared" si="1"/>
        <v>154</v>
      </c>
      <c r="L37" s="32">
        <f t="shared" si="2"/>
        <v>77</v>
      </c>
      <c r="M37" s="38" t="str">
        <f t="shared" si="3"/>
        <v>A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177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93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ntiN5eO9br16Lb7WX8Hjf4AZ8NFK/65vMIG5MFyRrk1hfcmZlUI/zsKbSahH52Zam/a4rqGO592f1ltA5094Qw==" saltValue="PUno1LXMio005gSJleACmw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7" priority="1" operator="equal">
      <formula>"F"</formula>
    </cfRule>
    <cfRule type="cellIs" dxfId="6" priority="2" operator="equal">
      <formula>"P"</formula>
    </cfRule>
    <cfRule type="cellIs" dxfId="5" priority="3" operator="equal">
      <formula>"C"</formula>
    </cfRule>
    <cfRule type="cellIs" dxfId="4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17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700-000002000000}">
          <x14:formula1>
            <xm:f>comments!$H$8:$H$12</xm:f>
          </x14:formula1>
          <xm:sqref>M14:M17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M51"/>
  <sheetViews>
    <sheetView workbookViewId="0">
      <selection activeCell="P6" sqref="P6"/>
    </sheetView>
  </sheetViews>
  <sheetFormatPr defaultRowHeight="15" x14ac:dyDescent="0.25"/>
  <cols>
    <col min="3" max="3" width="8.140625" customWidth="1"/>
    <col min="4" max="4" width="9.42578125" customWidth="1"/>
    <col min="5" max="5" width="9.85546875" customWidth="1"/>
    <col min="6" max="6" width="7.425781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1" t="s">
        <v>192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5" customHeight="1" x14ac:dyDescent="0.25">
      <c r="A2" s="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5.75" x14ac:dyDescent="0.25">
      <c r="A3" s="10"/>
      <c r="B3" s="112" t="s">
        <v>190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75" x14ac:dyDescent="0.25">
      <c r="A4" s="10"/>
      <c r="B4" s="113" t="s">
        <v>191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ht="15" customHeight="1" x14ac:dyDescent="0.25">
      <c r="A5" s="10"/>
      <c r="B5" s="114" t="s">
        <v>36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ht="15" customHeight="1" x14ac:dyDescent="0.25">
      <c r="A6" s="10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ht="15" customHeight="1" x14ac:dyDescent="0.25">
      <c r="I7" s="10"/>
      <c r="J7" s="10"/>
      <c r="K7" s="117" t="s">
        <v>108</v>
      </c>
      <c r="L7" s="117"/>
      <c r="M7" s="117"/>
    </row>
    <row r="8" spans="1:13" x14ac:dyDescent="0.25">
      <c r="A8" s="115" t="s">
        <v>37</v>
      </c>
      <c r="B8" s="115"/>
      <c r="C8" s="35" t="str">
        <f>('1st Term'!B30)</f>
        <v>WASIU NIMOTALLAH</v>
      </c>
      <c r="D8" s="8"/>
      <c r="E8" s="8"/>
      <c r="F8" s="8"/>
      <c r="G8" s="8"/>
      <c r="H8" s="9"/>
      <c r="I8" s="10"/>
      <c r="J8" s="10"/>
      <c r="K8" s="117"/>
      <c r="L8" s="117"/>
      <c r="M8" s="117"/>
    </row>
    <row r="9" spans="1:13" x14ac:dyDescent="0.25">
      <c r="A9" s="116" t="s">
        <v>38</v>
      </c>
      <c r="B9" s="110"/>
      <c r="C9" s="35" t="str">
        <f>('1st Term'!B7)</f>
        <v>JSS 1A</v>
      </c>
      <c r="D9" s="8"/>
      <c r="E9" s="8"/>
      <c r="F9" s="8"/>
      <c r="G9" s="8"/>
      <c r="H9" s="9"/>
      <c r="I9" s="10"/>
      <c r="J9" s="10"/>
      <c r="K9" s="117"/>
      <c r="L9" s="117"/>
      <c r="M9" s="117"/>
    </row>
    <row r="10" spans="1:13" x14ac:dyDescent="0.25">
      <c r="A10" s="116" t="s">
        <v>39</v>
      </c>
      <c r="B10" s="110"/>
      <c r="C10" s="35" t="str">
        <f>(comments!C4)</f>
        <v>2025/2026</v>
      </c>
      <c r="D10" s="8"/>
      <c r="E10" s="8"/>
      <c r="F10" s="57"/>
      <c r="G10" s="57"/>
      <c r="H10" s="9"/>
      <c r="I10" s="10"/>
      <c r="J10" s="10"/>
      <c r="K10" s="117"/>
      <c r="L10" s="117"/>
      <c r="M10" s="117"/>
    </row>
    <row r="11" spans="1:13" x14ac:dyDescent="0.25">
      <c r="A11" s="116" t="s">
        <v>40</v>
      </c>
      <c r="B11" s="110"/>
      <c r="C11" s="36" t="str">
        <f>(comments!B5)</f>
        <v>SECOND TERM</v>
      </c>
      <c r="D11" s="7"/>
      <c r="E11" s="7"/>
      <c r="F11" s="14" t="s">
        <v>185</v>
      </c>
      <c r="G11" s="8"/>
      <c r="H11" s="69">
        <f>((VLOOKUP(C8,'1st Term'!B9:AP48,41,FALSE))+(VLOOKUP(C8,'2nd Term'!B9:AP48,41,FALSE)))/2</f>
        <v>54.911764705882355</v>
      </c>
      <c r="I11" s="10"/>
      <c r="J11" s="10"/>
      <c r="K11" s="117"/>
      <c r="L11" s="117"/>
      <c r="M11" s="117"/>
    </row>
    <row r="12" spans="1:13" x14ac:dyDescent="0.25">
      <c r="A12" s="109" t="s">
        <v>41</v>
      </c>
      <c r="B12" s="110"/>
      <c r="C12" s="36" t="str">
        <f>(comments!E6)</f>
        <v>4th MAY 2026</v>
      </c>
      <c r="D12" s="7"/>
      <c r="E12" s="7"/>
      <c r="F12" s="14" t="s">
        <v>44</v>
      </c>
      <c r="G12" s="8"/>
      <c r="H12" s="67" t="str">
        <f>VLOOKUP(C8,comments!B8:E47,4,FALSE)</f>
        <v>10th</v>
      </c>
      <c r="I12" s="10"/>
      <c r="J12" s="10"/>
      <c r="K12" s="118"/>
      <c r="L12" s="118"/>
      <c r="M12" s="118"/>
    </row>
    <row r="13" spans="1:13" x14ac:dyDescent="0.25">
      <c r="A13" s="63"/>
      <c r="B13" s="65"/>
      <c r="C13" s="66"/>
      <c r="F13" s="31"/>
      <c r="H13" s="68"/>
      <c r="I13" s="10"/>
      <c r="J13" s="10"/>
      <c r="K13" s="70"/>
      <c r="L13" s="70"/>
      <c r="M13" s="70"/>
    </row>
    <row r="14" spans="1:13" ht="16.5" customHeight="1" x14ac:dyDescent="0.25">
      <c r="A14" s="17" t="s">
        <v>48</v>
      </c>
      <c r="B14" s="8"/>
      <c r="C14" s="8"/>
      <c r="D14" s="14" t="s">
        <v>49</v>
      </c>
      <c r="E14" s="8"/>
      <c r="F14" s="8"/>
      <c r="G14" s="8"/>
      <c r="H14" s="16"/>
      <c r="I14" s="108" t="s">
        <v>50</v>
      </c>
      <c r="J14" s="60" t="s">
        <v>32</v>
      </c>
      <c r="K14" s="59"/>
      <c r="L14" s="18"/>
      <c r="M14" s="59" t="s">
        <v>51</v>
      </c>
    </row>
    <row r="15" spans="1:13" ht="21" customHeight="1" x14ac:dyDescent="0.25">
      <c r="A15" s="11" t="s">
        <v>46</v>
      </c>
      <c r="B15" s="7"/>
      <c r="C15" s="7"/>
      <c r="D15" s="58">
        <f>(comments!C6)</f>
        <v>122</v>
      </c>
      <c r="E15" s="8"/>
      <c r="F15" s="8"/>
      <c r="G15" s="8"/>
      <c r="H15" s="15"/>
      <c r="I15" s="108"/>
      <c r="J15" s="60" t="s">
        <v>33</v>
      </c>
      <c r="K15" s="59"/>
      <c r="L15" s="18"/>
      <c r="M15" s="59" t="s">
        <v>52</v>
      </c>
    </row>
    <row r="16" spans="1:13" ht="18.75" customHeight="1" x14ac:dyDescent="0.25">
      <c r="A16" s="12" t="s">
        <v>47</v>
      </c>
      <c r="B16" s="8"/>
      <c r="C16" s="8"/>
      <c r="D16" s="37">
        <f>VLOOKUP(C8,comments!B8:C47,2,FALSE)</f>
        <v>122</v>
      </c>
      <c r="E16" s="8"/>
      <c r="F16" s="8"/>
      <c r="G16" s="8"/>
      <c r="H16" s="15"/>
      <c r="I16" s="108"/>
      <c r="J16" s="60" t="s">
        <v>34</v>
      </c>
      <c r="K16" s="59"/>
      <c r="L16" s="18"/>
      <c r="M16" s="59" t="s">
        <v>51</v>
      </c>
    </row>
    <row r="17" spans="1:13" ht="17.25" customHeight="1" x14ac:dyDescent="0.25">
      <c r="A17" s="11" t="s">
        <v>45</v>
      </c>
      <c r="B17" s="7"/>
      <c r="C17" s="7"/>
      <c r="D17" s="37">
        <f>(comments!D6)</f>
        <v>22</v>
      </c>
      <c r="E17" s="8"/>
      <c r="F17" s="8"/>
      <c r="G17" s="8"/>
      <c r="H17" s="15"/>
      <c r="I17" s="108"/>
      <c r="J17" s="62" t="s">
        <v>35</v>
      </c>
      <c r="K17" s="61"/>
      <c r="L17" s="54"/>
      <c r="M17" s="59" t="s">
        <v>55</v>
      </c>
    </row>
    <row r="18" spans="1:13" ht="64.5" customHeight="1" x14ac:dyDescent="0.25">
      <c r="A18" s="105" t="s">
        <v>56</v>
      </c>
      <c r="B18" s="106"/>
      <c r="C18" s="21"/>
      <c r="D18" s="21"/>
      <c r="E18" s="21"/>
      <c r="F18" s="22"/>
      <c r="G18" s="55" t="s">
        <v>181</v>
      </c>
      <c r="H18" s="55" t="s">
        <v>182</v>
      </c>
      <c r="I18" s="55" t="s">
        <v>183</v>
      </c>
      <c r="J18" s="56" t="s">
        <v>180</v>
      </c>
      <c r="K18" s="55" t="s">
        <v>179</v>
      </c>
      <c r="L18" s="55" t="s">
        <v>184</v>
      </c>
      <c r="M18" s="55" t="s">
        <v>57</v>
      </c>
    </row>
    <row r="19" spans="1:13" ht="15" customHeight="1" x14ac:dyDescent="0.25">
      <c r="A19" s="23" t="s">
        <v>6</v>
      </c>
      <c r="B19" s="8"/>
      <c r="C19" s="8"/>
      <c r="D19" s="8"/>
      <c r="E19" s="8"/>
      <c r="F19" s="9"/>
      <c r="G19" s="38">
        <f>VLOOKUP(C8,'2nd Term'!B9:AN48,2,FALSE)</f>
        <v>28</v>
      </c>
      <c r="H19" s="38">
        <f>VLOOKUP(C8,'2nd Term'!B9:AN48,3,FALSE)</f>
        <v>28</v>
      </c>
      <c r="I19" s="38">
        <f>SUM(G19:H19)</f>
        <v>56</v>
      </c>
      <c r="J19" s="38">
        <f>(VLOOKUP(C8,'1st Term'!B9:AN48,2,FALSE))+(VLOOKUP(C8,'1st Term'!B9:AN48,3,FALSE))</f>
        <v>56</v>
      </c>
      <c r="K19" s="38">
        <f>SUM(I19:J19)</f>
        <v>112</v>
      </c>
      <c r="L19" s="32">
        <f>K19/2</f>
        <v>56</v>
      </c>
      <c r="M19" s="38" t="str">
        <f>IF(L19&gt;=70,"A",IF(L19&gt;=50,"C",IF(L19&gt;=40,"P","F")))</f>
        <v>C</v>
      </c>
    </row>
    <row r="20" spans="1:13" ht="15" customHeight="1" x14ac:dyDescent="0.25">
      <c r="A20" s="23" t="s">
        <v>3</v>
      </c>
      <c r="B20" s="8"/>
      <c r="C20" s="8"/>
      <c r="D20" s="8"/>
      <c r="E20" s="8"/>
      <c r="F20" s="9"/>
      <c r="G20" s="38">
        <f>VLOOKUP(C8,'2nd Term'!B9:AN48,4,FALSE)</f>
        <v>24</v>
      </c>
      <c r="H20" s="38">
        <f>VLOOKUP(C8,'2nd Term'!B9:AN48,5,FALSE)</f>
        <v>60</v>
      </c>
      <c r="I20" s="38">
        <f t="shared" ref="I20:I37" si="0">SUM(G20:H20)</f>
        <v>84</v>
      </c>
      <c r="J20" s="38">
        <f>(VLOOKUP(C8,'1st Term'!B9:AN48,4,FALSE))+(VLOOKUP(C8,'1st Term'!B9:AN48,5,FALSE))</f>
        <v>56</v>
      </c>
      <c r="K20" s="38">
        <f t="shared" ref="K20:K37" si="1">SUM(I20:J20)</f>
        <v>140</v>
      </c>
      <c r="L20" s="32">
        <f t="shared" ref="L20:L37" si="2">K20/2</f>
        <v>70</v>
      </c>
      <c r="M20" s="38" t="str">
        <f t="shared" ref="M20:M37" si="3">IF(L20&gt;=70,"A",IF(L20&gt;=50,"C",IF(L20&gt;=40,"P","F")))</f>
        <v>A</v>
      </c>
    </row>
    <row r="21" spans="1:13" ht="15" customHeight="1" x14ac:dyDescent="0.25">
      <c r="A21" s="23" t="s">
        <v>4</v>
      </c>
      <c r="B21" s="8"/>
      <c r="C21" s="8"/>
      <c r="D21" s="8"/>
      <c r="E21" s="8"/>
      <c r="F21" s="9"/>
      <c r="G21" s="38">
        <f>VLOOKUP(C8,'2nd Term'!B9:AN48,6,FALSE)</f>
        <v>26</v>
      </c>
      <c r="H21" s="38">
        <f>VLOOKUP(C8,'2nd Term'!B9:AN48,7,FALSE)</f>
        <v>47</v>
      </c>
      <c r="I21" s="38">
        <f t="shared" si="0"/>
        <v>73</v>
      </c>
      <c r="J21" s="38">
        <f>(VLOOKUP(C8,'1st Term'!B9:AN48,6,FALSE))+(VLOOKUP(C8,'1st Term'!B9:AN48,7,FALSE))</f>
        <v>71</v>
      </c>
      <c r="K21" s="38">
        <f t="shared" si="1"/>
        <v>144</v>
      </c>
      <c r="L21" s="32">
        <f t="shared" si="2"/>
        <v>72</v>
      </c>
      <c r="M21" s="38" t="str">
        <f t="shared" si="3"/>
        <v>A</v>
      </c>
    </row>
    <row r="22" spans="1:13" ht="15" customHeight="1" x14ac:dyDescent="0.25">
      <c r="A22" s="23" t="s">
        <v>5</v>
      </c>
      <c r="B22" s="8"/>
      <c r="C22" s="8"/>
      <c r="D22" s="8"/>
      <c r="E22" s="8"/>
      <c r="F22" s="9"/>
      <c r="G22" s="38">
        <f>VLOOKUP(C8,'2nd Term'!B9:AN48,8,FALSE)</f>
        <v>15</v>
      </c>
      <c r="H22" s="38">
        <f>VLOOKUP(C8,'2nd Term'!B9:AN48,9,FALSE)</f>
        <v>20</v>
      </c>
      <c r="I22" s="38">
        <f t="shared" si="0"/>
        <v>35</v>
      </c>
      <c r="J22" s="38">
        <f>(VLOOKUP(C8,'1st Term'!B9:AN48,8,FALSE))+(VLOOKUP(C8,'1st Term'!B9:AN48,9,FALSE))</f>
        <v>33</v>
      </c>
      <c r="K22" s="38">
        <f t="shared" si="1"/>
        <v>68</v>
      </c>
      <c r="L22" s="32">
        <f t="shared" si="2"/>
        <v>34</v>
      </c>
      <c r="M22" s="38" t="str">
        <f t="shared" si="3"/>
        <v>F</v>
      </c>
    </row>
    <row r="23" spans="1:13" ht="15" customHeight="1" x14ac:dyDescent="0.25">
      <c r="A23" s="23" t="s">
        <v>7</v>
      </c>
      <c r="B23" s="8"/>
      <c r="C23" s="8"/>
      <c r="D23" s="8"/>
      <c r="E23" s="8"/>
      <c r="F23" s="9"/>
      <c r="G23" s="38">
        <f>VLOOKUP(C8,'2nd Term'!B9:AN48,10,FALSE)</f>
        <v>30</v>
      </c>
      <c r="H23" s="38">
        <f>VLOOKUP(C8,'2nd Term'!B9:AN48,11,FALSE)</f>
        <v>45</v>
      </c>
      <c r="I23" s="38">
        <f t="shared" si="0"/>
        <v>75</v>
      </c>
      <c r="J23" s="38">
        <f>(VLOOKUP(C8,'1st Term'!B9:AN48,10,FALSE))+(VLOOKUP(C8,'1st Term'!B9:AN48,11,FALSE))</f>
        <v>54</v>
      </c>
      <c r="K23" s="38">
        <f t="shared" si="1"/>
        <v>129</v>
      </c>
      <c r="L23" s="32">
        <f t="shared" si="2"/>
        <v>64.5</v>
      </c>
      <c r="M23" s="38" t="str">
        <f t="shared" si="3"/>
        <v>C</v>
      </c>
    </row>
    <row r="24" spans="1:13" ht="15" customHeight="1" x14ac:dyDescent="0.25">
      <c r="A24" s="23" t="s">
        <v>8</v>
      </c>
      <c r="B24" s="8"/>
      <c r="C24" s="8"/>
      <c r="D24" s="8"/>
      <c r="E24" s="8"/>
      <c r="F24" s="9"/>
      <c r="G24" s="38">
        <f>VLOOKUP(C8,'2nd Term'!B9:AN48,12,FALSE)</f>
        <v>13</v>
      </c>
      <c r="H24" s="38">
        <f>VLOOKUP(C8,'2nd Term'!B9:AN48,13,FALSE)</f>
        <v>34</v>
      </c>
      <c r="I24" s="38">
        <f t="shared" si="0"/>
        <v>47</v>
      </c>
      <c r="J24" s="38">
        <f>(VLOOKUP(C8,'1st Term'!B9:AN48,12,FALSE))+(VLOOKUP(C8,'1st Term'!B9:AN48,13,FALSE))</f>
        <v>46</v>
      </c>
      <c r="K24" s="38">
        <f t="shared" si="1"/>
        <v>93</v>
      </c>
      <c r="L24" s="32">
        <f t="shared" si="2"/>
        <v>46.5</v>
      </c>
      <c r="M24" s="38" t="str">
        <f t="shared" si="3"/>
        <v>P</v>
      </c>
    </row>
    <row r="25" spans="1:13" ht="15" customHeight="1" x14ac:dyDescent="0.25">
      <c r="A25" s="23" t="s">
        <v>9</v>
      </c>
      <c r="B25" s="8"/>
      <c r="C25" s="8"/>
      <c r="D25" s="8"/>
      <c r="E25" s="8"/>
      <c r="F25" s="9"/>
      <c r="G25" s="38">
        <f>VLOOKUP(C8,'2nd Term'!B9:AN48,14,FALSE)</f>
        <v>23</v>
      </c>
      <c r="H25" s="38">
        <f>VLOOKUP(C8,'2nd Term'!B9:AN48,15,FALSE)</f>
        <v>36</v>
      </c>
      <c r="I25" s="38">
        <f t="shared" si="0"/>
        <v>59</v>
      </c>
      <c r="J25" s="38">
        <f>(VLOOKUP(C8,'1st Term'!B9:AN48,14,FALSE))+(VLOOKUP(C8,'1st Term'!B9:AN48,15,FALSE))</f>
        <v>41</v>
      </c>
      <c r="K25" s="38">
        <f t="shared" si="1"/>
        <v>100</v>
      </c>
      <c r="L25" s="32">
        <f t="shared" si="2"/>
        <v>50</v>
      </c>
      <c r="M25" s="38" t="str">
        <f t="shared" si="3"/>
        <v>C</v>
      </c>
    </row>
    <row r="26" spans="1:13" ht="15" customHeight="1" x14ac:dyDescent="0.25">
      <c r="A26" s="23" t="s">
        <v>10</v>
      </c>
      <c r="B26" s="8"/>
      <c r="C26" s="8"/>
      <c r="D26" s="8"/>
      <c r="E26" s="8"/>
      <c r="F26" s="9"/>
      <c r="G26" s="38">
        <f>VLOOKUP(C8,'2nd Term'!B9:AN48,16,FALSE)</f>
        <v>18</v>
      </c>
      <c r="H26" s="38">
        <f>VLOOKUP(C8,'2nd Term'!B9:AN48,17,FALSE)</f>
        <v>35</v>
      </c>
      <c r="I26" s="38">
        <f t="shared" si="0"/>
        <v>53</v>
      </c>
      <c r="J26" s="38">
        <f>(VLOOKUP(C8,'1st Term'!B9:AN48,16,FALSE))+(VLOOKUP(C8,'1st Term'!B9:AN48,17,FALSE))</f>
        <v>36</v>
      </c>
      <c r="K26" s="38">
        <f t="shared" si="1"/>
        <v>89</v>
      </c>
      <c r="L26" s="32">
        <f t="shared" si="2"/>
        <v>44.5</v>
      </c>
      <c r="M26" s="38" t="str">
        <f t="shared" si="3"/>
        <v>P</v>
      </c>
    </row>
    <row r="27" spans="1:13" ht="15" hidden="1" customHeight="1" x14ac:dyDescent="0.25">
      <c r="A27" s="23" t="s">
        <v>11</v>
      </c>
      <c r="B27" s="8"/>
      <c r="C27" s="8"/>
      <c r="D27" s="8"/>
      <c r="E27" s="8"/>
      <c r="F27" s="9"/>
      <c r="G27" s="38">
        <f>VLOOKUP(C8,'2nd Term'!B9:AN48,18,FALSE)</f>
        <v>0</v>
      </c>
      <c r="H27" s="38">
        <f>VLOOKUP(C8,'2nd Term'!B9:AN48,19,FALSE)</f>
        <v>0</v>
      </c>
      <c r="I27" s="38">
        <f t="shared" si="0"/>
        <v>0</v>
      </c>
      <c r="J27" s="38">
        <f>(VLOOKUP(C8,'1st Term'!B9:AN48,18,FALSE))+(VLOOKUP(C8,'1st Term'!B9:AN48,19,FALSE))</f>
        <v>0</v>
      </c>
      <c r="K27" s="38">
        <f t="shared" si="1"/>
        <v>0</v>
      </c>
      <c r="L27" s="32">
        <f t="shared" si="2"/>
        <v>0</v>
      </c>
      <c r="M27" s="38" t="str">
        <f t="shared" si="3"/>
        <v>F</v>
      </c>
    </row>
    <row r="28" spans="1:13" ht="15" customHeight="1" x14ac:dyDescent="0.25">
      <c r="A28" s="23" t="s">
        <v>13</v>
      </c>
      <c r="B28" s="8"/>
      <c r="C28" s="8"/>
      <c r="D28" s="8"/>
      <c r="E28" s="8"/>
      <c r="F28" s="9"/>
      <c r="G28" s="38">
        <f>VLOOKUP(C8,'2nd Term'!B9:AN48,20,FALSE)</f>
        <v>21</v>
      </c>
      <c r="H28" s="38">
        <f>VLOOKUP(C8,'2nd Term'!B9:AN48,21,FALSE)</f>
        <v>51</v>
      </c>
      <c r="I28" s="38">
        <f t="shared" si="0"/>
        <v>72</v>
      </c>
      <c r="J28" s="38">
        <f>(VLOOKUP(C8,'1st Term'!B9:AN48,20,FALSE))+(VLOOKUP(C8,'1st Term'!B9:AN48,21,FALSE))</f>
        <v>68</v>
      </c>
      <c r="K28" s="38">
        <f t="shared" si="1"/>
        <v>140</v>
      </c>
      <c r="L28" s="32">
        <f t="shared" si="2"/>
        <v>70</v>
      </c>
      <c r="M28" s="38" t="str">
        <f t="shared" si="3"/>
        <v>A</v>
      </c>
    </row>
    <row r="29" spans="1:13" x14ac:dyDescent="0.25">
      <c r="A29" s="23" t="s">
        <v>14</v>
      </c>
      <c r="B29" s="8"/>
      <c r="C29" s="8"/>
      <c r="D29" s="8"/>
      <c r="E29" s="8"/>
      <c r="F29" s="9"/>
      <c r="G29" s="38">
        <f>VLOOKUP(C8,'2nd Term'!B9:AN48,22,FALSE)</f>
        <v>16</v>
      </c>
      <c r="H29" s="38">
        <f>VLOOKUP(C8,'2nd Term'!B9:AN48,23,FALSE)</f>
        <v>55</v>
      </c>
      <c r="I29" s="38">
        <f t="shared" si="0"/>
        <v>71</v>
      </c>
      <c r="J29" s="38">
        <f>(VLOOKUP(C8,'1st Term'!B9:AN48,22,FALSE))+(VLOOKUP(C8,'1st Term'!B9:AN48,23,FALSE))</f>
        <v>50</v>
      </c>
      <c r="K29" s="38">
        <f t="shared" si="1"/>
        <v>121</v>
      </c>
      <c r="L29" s="32">
        <f t="shared" si="2"/>
        <v>60.5</v>
      </c>
      <c r="M29" s="38" t="str">
        <f t="shared" si="3"/>
        <v>C</v>
      </c>
    </row>
    <row r="30" spans="1:13" x14ac:dyDescent="0.25">
      <c r="A30" s="23" t="s">
        <v>15</v>
      </c>
      <c r="B30" s="8"/>
      <c r="C30" s="8"/>
      <c r="D30" s="8"/>
      <c r="E30" s="8"/>
      <c r="F30" s="9"/>
      <c r="G30" s="38">
        <f>VLOOKUP(C8,'2nd Term'!B9:AN48,24,FALSE)</f>
        <v>22</v>
      </c>
      <c r="H30" s="38">
        <f>VLOOKUP(C8,'2nd Term'!B9:AN48,25,FALSE)</f>
        <v>38</v>
      </c>
      <c r="I30" s="38">
        <f t="shared" si="0"/>
        <v>60</v>
      </c>
      <c r="J30" s="38">
        <f>(VLOOKUP(C8,'1st Term'!B9:AN48,24,FALSE))+(VLOOKUP(C8,'1st Term'!B9:AN48,25,FALSE))</f>
        <v>40</v>
      </c>
      <c r="K30" s="38">
        <f t="shared" si="1"/>
        <v>100</v>
      </c>
      <c r="L30" s="32">
        <f t="shared" si="2"/>
        <v>50</v>
      </c>
      <c r="M30" s="38" t="str">
        <f t="shared" si="3"/>
        <v>C</v>
      </c>
    </row>
    <row r="31" spans="1:13" hidden="1" x14ac:dyDescent="0.25">
      <c r="A31" s="23" t="s">
        <v>22</v>
      </c>
      <c r="B31" s="8"/>
      <c r="C31" s="8"/>
      <c r="D31" s="8"/>
      <c r="E31" s="8"/>
      <c r="F31" s="9"/>
      <c r="G31" s="38">
        <f>VLOOKUP(C8,'2nd Term'!B9:AN48,26,FALSE)</f>
        <v>0</v>
      </c>
      <c r="H31" s="38">
        <f>VLOOKUP(C8,'2nd Term'!B9:AN48,27,FALSE)</f>
        <v>0</v>
      </c>
      <c r="I31" s="38">
        <f t="shared" si="0"/>
        <v>0</v>
      </c>
      <c r="J31" s="38">
        <f>(VLOOKUP(C8,'1st Term'!B9:AN48,26,FALSE))+(VLOOKUP(C8,'1st Term'!B9:AN48,27,FALSE))</f>
        <v>0</v>
      </c>
      <c r="K31" s="38">
        <f t="shared" si="1"/>
        <v>0</v>
      </c>
      <c r="L31" s="32">
        <f t="shared" si="2"/>
        <v>0</v>
      </c>
      <c r="M31" s="38" t="str">
        <f t="shared" si="3"/>
        <v>F</v>
      </c>
    </row>
    <row r="32" spans="1:13" x14ac:dyDescent="0.25">
      <c r="A32" s="23" t="s">
        <v>16</v>
      </c>
      <c r="B32" s="8"/>
      <c r="C32" s="8"/>
      <c r="D32" s="8"/>
      <c r="E32" s="8"/>
      <c r="F32" s="9"/>
      <c r="G32" s="38">
        <f>VLOOKUP(C8,'2nd Term'!B9:AN48,28,FALSE)</f>
        <v>14</v>
      </c>
      <c r="H32" s="38">
        <f>VLOOKUP(C8,'2nd Term'!B9:AN48,29,FALSE)</f>
        <v>31</v>
      </c>
      <c r="I32" s="38">
        <f t="shared" si="0"/>
        <v>45</v>
      </c>
      <c r="J32" s="38">
        <f>(VLOOKUP(C8,'1st Term'!B9:AN48,28,FALSE))+(VLOOKUP(C8,'1st Term'!B9:AN48,29,FALSE))</f>
        <v>39</v>
      </c>
      <c r="K32" s="38">
        <f t="shared" si="1"/>
        <v>84</v>
      </c>
      <c r="L32" s="32">
        <f t="shared" si="2"/>
        <v>42</v>
      </c>
      <c r="M32" s="38" t="str">
        <f t="shared" si="3"/>
        <v>P</v>
      </c>
    </row>
    <row r="33" spans="1:13" x14ac:dyDescent="0.25">
      <c r="A33" s="23" t="s">
        <v>17</v>
      </c>
      <c r="B33" s="8"/>
      <c r="C33" s="8"/>
      <c r="D33" s="8"/>
      <c r="E33" s="8"/>
      <c r="F33" s="9"/>
      <c r="G33" s="38">
        <f>VLOOKUP(C8,'2nd Term'!B9:AN48,30,FALSE)</f>
        <v>20</v>
      </c>
      <c r="H33" s="38">
        <f>VLOOKUP(C8,'2nd Term'!B9:AN48,31,FALSE)</f>
        <v>35</v>
      </c>
      <c r="I33" s="38">
        <f t="shared" si="0"/>
        <v>55</v>
      </c>
      <c r="J33" s="38">
        <f>(VLOOKUP(C8,'1st Term'!B9:AN48,30,FALSE))+(VLOOKUP(C8,'1st Term'!B9:AN48,31,FALSE))</f>
        <v>61</v>
      </c>
      <c r="K33" s="38">
        <f t="shared" si="1"/>
        <v>116</v>
      </c>
      <c r="L33" s="32">
        <f t="shared" si="2"/>
        <v>58</v>
      </c>
      <c r="M33" s="38" t="str">
        <f t="shared" si="3"/>
        <v>C</v>
      </c>
    </row>
    <row r="34" spans="1:13" x14ac:dyDescent="0.25">
      <c r="A34" s="23" t="s">
        <v>18</v>
      </c>
      <c r="B34" s="8"/>
      <c r="C34" s="8"/>
      <c r="D34" s="8"/>
      <c r="E34" s="8"/>
      <c r="F34" s="9"/>
      <c r="G34" s="38">
        <f>VLOOKUP(C8,'2nd Term'!B9:AN48,32,FALSE)</f>
        <v>26</v>
      </c>
      <c r="H34" s="38">
        <f>VLOOKUP(C8,'2nd Term'!B9:AN48,33,FALSE)</f>
        <v>30</v>
      </c>
      <c r="I34" s="38">
        <f t="shared" si="0"/>
        <v>56</v>
      </c>
      <c r="J34" s="38">
        <f>(VLOOKUP(C8,'1st Term'!B9:AN48,32,FALSE))+(VLOOKUP(C8,'1st Term'!B9:AN48,33,FALSE))</f>
        <v>46</v>
      </c>
      <c r="K34" s="38">
        <f t="shared" si="1"/>
        <v>102</v>
      </c>
      <c r="L34" s="32">
        <f t="shared" si="2"/>
        <v>51</v>
      </c>
      <c r="M34" s="38" t="str">
        <f t="shared" si="3"/>
        <v>C</v>
      </c>
    </row>
    <row r="35" spans="1:13" x14ac:dyDescent="0.25">
      <c r="A35" s="23" t="s">
        <v>19</v>
      </c>
      <c r="B35" s="8"/>
      <c r="C35" s="8"/>
      <c r="D35" s="8"/>
      <c r="E35" s="8"/>
      <c r="F35" s="9"/>
      <c r="G35" s="38">
        <f>VLOOKUP(C8,'2nd Term'!B9:AN48,34,FALSE)</f>
        <v>20</v>
      </c>
      <c r="H35" s="38">
        <f>VLOOKUP(C8,'2nd Term'!B9:AN48,35,FALSE)</f>
        <v>32</v>
      </c>
      <c r="I35" s="38">
        <f t="shared" si="0"/>
        <v>52</v>
      </c>
      <c r="J35" s="38">
        <f>(VLOOKUP(C8,'1st Term'!B9:AN48,34,FALSE))+(VLOOKUP(C8,'1st Term'!B9:AN48,35,FALSE))</f>
        <v>29</v>
      </c>
      <c r="K35" s="38">
        <f t="shared" si="1"/>
        <v>81</v>
      </c>
      <c r="L35" s="32">
        <f t="shared" si="2"/>
        <v>40.5</v>
      </c>
      <c r="M35" s="38" t="str">
        <f t="shared" si="3"/>
        <v>P</v>
      </c>
    </row>
    <row r="36" spans="1:13" x14ac:dyDescent="0.25">
      <c r="A36" s="23" t="s">
        <v>20</v>
      </c>
      <c r="B36" s="8"/>
      <c r="C36" s="8"/>
      <c r="D36" s="8"/>
      <c r="E36" s="8"/>
      <c r="F36" s="9"/>
      <c r="G36" s="38">
        <f>VLOOKUP(C8,'2nd Term'!B9:AN48,36,FALSE)</f>
        <v>13</v>
      </c>
      <c r="H36" s="38">
        <f>VLOOKUP(C8,'2nd Term'!B9:AN48,37,FALSE)</f>
        <v>29</v>
      </c>
      <c r="I36" s="38">
        <f t="shared" si="0"/>
        <v>42</v>
      </c>
      <c r="J36" s="38">
        <f>(VLOOKUP(C8,'1st Term'!B9:AN48,36,FALSE))+(VLOOKUP(C8,'1st Term'!B9:AN48,37,FALSE))</f>
        <v>33</v>
      </c>
      <c r="K36" s="38">
        <f t="shared" si="1"/>
        <v>75</v>
      </c>
      <c r="L36" s="32">
        <f t="shared" si="2"/>
        <v>37.5</v>
      </c>
      <c r="M36" s="38" t="str">
        <f t="shared" si="3"/>
        <v>F</v>
      </c>
    </row>
    <row r="37" spans="1:13" x14ac:dyDescent="0.25">
      <c r="A37" s="20" t="s">
        <v>21</v>
      </c>
      <c r="B37" s="7"/>
      <c r="C37" s="7"/>
      <c r="D37" s="7"/>
      <c r="E37" s="7"/>
      <c r="F37" s="13"/>
      <c r="G37" s="38">
        <f>VLOOKUP(C8,'2nd Term'!B9:AN48,38,FALSE)</f>
        <v>26</v>
      </c>
      <c r="H37" s="38">
        <f>VLOOKUP(C8,'2nd Term'!B9:AN48,39,FALSE)</f>
        <v>66</v>
      </c>
      <c r="I37" s="38">
        <f t="shared" si="0"/>
        <v>92</v>
      </c>
      <c r="J37" s="38">
        <f>(VLOOKUP(C8,'1st Term'!B9:AN48,38,FALSE))+(VLOOKUP(C8,'1st Term'!B9:AN48,39,FALSE))</f>
        <v>81</v>
      </c>
      <c r="K37" s="38">
        <f t="shared" si="1"/>
        <v>173</v>
      </c>
      <c r="L37" s="32">
        <f t="shared" si="2"/>
        <v>86.5</v>
      </c>
      <c r="M37" s="38" t="str">
        <f t="shared" si="3"/>
        <v>A</v>
      </c>
    </row>
    <row r="43" spans="1:13" x14ac:dyDescent="0.25">
      <c r="G43" s="119" t="s">
        <v>65</v>
      </c>
      <c r="H43" s="119"/>
      <c r="I43" s="119"/>
      <c r="J43" s="119"/>
      <c r="K43" s="119"/>
      <c r="L43" s="119"/>
      <c r="M43" s="119"/>
    </row>
    <row r="44" spans="1:13" x14ac:dyDescent="0.25">
      <c r="A44" s="30" t="s">
        <v>61</v>
      </c>
    </row>
    <row r="45" spans="1:13" ht="12.75" customHeight="1" x14ac:dyDescent="0.25">
      <c r="A45" s="107" t="s">
        <v>162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x14ac:dyDescent="0.25"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31" t="s">
        <v>63</v>
      </c>
    </row>
    <row r="48" spans="1:13" ht="12" customHeight="1" x14ac:dyDescent="0.25">
      <c r="A48" s="107" t="s">
        <v>101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50" spans="1:1" x14ac:dyDescent="0.25">
      <c r="A50" s="31" t="s">
        <v>62</v>
      </c>
    </row>
    <row r="51" spans="1:1" ht="12" customHeight="1" x14ac:dyDescent="0.25">
      <c r="A51" s="19" t="s">
        <v>64</v>
      </c>
    </row>
  </sheetData>
  <sheetProtection algorithmName="SHA-512" hashValue="wNQu44ZfzbJDiZGQfyvKpIzDa6OYaBy1I+LWO+d9oObZzJEaNtxERWZcQl7qgpFDiJgwoMpBeHZE15FZUOsFqg==" saltValue="h/iAfARMedhyoN0c5irlXA==" spinCount="100000" sheet="1" scenarios="1"/>
  <mergeCells count="15">
    <mergeCell ref="I14:I17"/>
    <mergeCell ref="A18:B18"/>
    <mergeCell ref="G43:M43"/>
    <mergeCell ref="A45:M45"/>
    <mergeCell ref="A48:M48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3" priority="1" operator="equal">
      <formula>"F"</formula>
    </cfRule>
    <cfRule type="cellIs" dxfId="2" priority="2" operator="equal">
      <formula>"P"</formula>
    </cfRule>
    <cfRule type="cellIs" dxfId="1" priority="3" operator="equal">
      <formula>"C"</formula>
    </cfRule>
    <cfRule type="cellIs" dxfId="0" priority="4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0000000}">
          <x14:formula1>
            <xm:f>comments!$F$8:$F$64</xm:f>
          </x14:formula1>
          <xm:sqref>A45:M45</xm:sqref>
        </x14:dataValidation>
        <x14:dataValidation type="list" allowBlank="1" showInputMessage="1" showErrorMessage="1" xr:uid="{00000000-0002-0000-1800-000001000000}">
          <x14:formula1>
            <xm:f>comments!$G$8:$G$64</xm:f>
          </x14:formula1>
          <xm:sqref>A48:M48</xm:sqref>
        </x14:dataValidation>
        <x14:dataValidation type="list" allowBlank="1" showInputMessage="1" showErrorMessage="1" xr:uid="{00000000-0002-0000-1800-000002000000}">
          <x14:formula1>
            <xm:f>comments!$H$8:$H$12</xm:f>
          </x14:formula1>
          <xm:sqref>M14:M17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1st Term</vt:lpstr>
      <vt:lpstr>2nd Term</vt:lpstr>
      <vt:lpstr>comments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Easynett</dc:creator>
  <cp:lastModifiedBy>Sir easynett</cp:lastModifiedBy>
  <cp:lastPrinted>2026-05-31T18:58:50Z</cp:lastPrinted>
  <dcterms:created xsi:type="dcterms:W3CDTF">2019-07-29T16:13:47Z</dcterms:created>
  <dcterms:modified xsi:type="dcterms:W3CDTF">2026-05-31T18:59:52Z</dcterms:modified>
</cp:coreProperties>
</file>