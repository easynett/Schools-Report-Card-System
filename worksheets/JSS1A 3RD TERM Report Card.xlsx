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r easynett\Desktop\PROJECTS\Schools Report Card System\worksheet\"/>
    </mc:Choice>
  </mc:AlternateContent>
  <xr:revisionPtr revIDLastSave="0" documentId="13_ncr:1_{46FD16AB-FF52-4695-ACDB-E7505C9F36AB}" xr6:coauthVersionLast="47" xr6:coauthVersionMax="47" xr10:uidLastSave="{00000000-0000-0000-0000-000000000000}"/>
  <workbookProtection workbookAlgorithmName="SHA-512" workbookHashValue="03i6hWwROMAjMZ7cE0L0weH6NRdth6LTE6Bo3a5p0QiK1gf0F0jrKygNjFIZwjFjYYc1zeud+or1ujG38EWDug==" workbookSaltValue="7kqAaXkECr2/vEjferAnPw==" workbookSpinCount="100000" lockStructure="1"/>
  <bookViews>
    <workbookView xWindow="-120" yWindow="-120" windowWidth="20730" windowHeight="11160" tabRatio="932" activeTab="5" xr2:uid="{00000000-000D-0000-FFFF-FFFF00000000}"/>
  </bookViews>
  <sheets>
    <sheet name="LeaderBoard" sheetId="142" r:id="rId1"/>
    <sheet name="DataSet" sheetId="141" r:id="rId2"/>
    <sheet name="Pivot Table" sheetId="143" r:id="rId3"/>
    <sheet name="1st Term" sheetId="1" r:id="rId4"/>
    <sheet name="2nd Term" sheetId="52" r:id="rId5"/>
    <sheet name="3rd Term" sheetId="95" r:id="rId6"/>
    <sheet name="comments" sheetId="10" r:id="rId7"/>
    <sheet name="sheet1" sheetId="12" r:id="rId8"/>
    <sheet name="sheet2" sheetId="145" r:id="rId9"/>
    <sheet name="sheet3" sheetId="146" r:id="rId10"/>
    <sheet name="sheet4" sheetId="147" r:id="rId11"/>
    <sheet name="sheet5" sheetId="148" r:id="rId12"/>
    <sheet name="sheet6" sheetId="149" r:id="rId13"/>
    <sheet name="sheet7" sheetId="150" r:id="rId14"/>
    <sheet name="sheet8" sheetId="151" r:id="rId15"/>
    <sheet name="sheet9" sheetId="152" r:id="rId16"/>
    <sheet name="sheet10" sheetId="153" r:id="rId17"/>
    <sheet name="sheet11" sheetId="154" r:id="rId18"/>
    <sheet name="sheet12" sheetId="155" r:id="rId19"/>
    <sheet name="sheet13" sheetId="156" r:id="rId20"/>
    <sheet name="sheet14" sheetId="157" r:id="rId21"/>
    <sheet name="sheet15" sheetId="158" r:id="rId22"/>
    <sheet name="sheet16" sheetId="159" r:id="rId23"/>
    <sheet name="sheet17" sheetId="160" r:id="rId24"/>
    <sheet name="sheet18" sheetId="161" r:id="rId25"/>
    <sheet name="sheet19" sheetId="162" r:id="rId26"/>
    <sheet name="sheet20" sheetId="163" r:id="rId27"/>
    <sheet name="sheet21" sheetId="164" r:id="rId28"/>
    <sheet name="sheet22" sheetId="165" r:id="rId2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65" l="1"/>
  <c r="C8" i="164"/>
  <c r="C8" i="163"/>
  <c r="C8" i="162"/>
  <c r="C8" i="161"/>
  <c r="C8" i="160"/>
  <c r="C8" i="159"/>
  <c r="C8" i="158"/>
  <c r="C8" i="157"/>
  <c r="C8" i="156"/>
  <c r="C8" i="155"/>
  <c r="C8" i="154"/>
  <c r="C8" i="153"/>
  <c r="C8" i="152"/>
  <c r="C8" i="151"/>
  <c r="C8" i="150"/>
  <c r="C8" i="149"/>
  <c r="C8" i="148"/>
  <c r="C8" i="147"/>
  <c r="C8" i="146"/>
  <c r="C8" i="145"/>
  <c r="D17" i="165"/>
  <c r="D16" i="165"/>
  <c r="D15" i="165"/>
  <c r="C12" i="165"/>
  <c r="C11" i="165"/>
  <c r="C10" i="165"/>
  <c r="C9" i="165"/>
  <c r="I23" i="164"/>
  <c r="G22" i="164"/>
  <c r="I21" i="164"/>
  <c r="G20" i="164"/>
  <c r="I19" i="164"/>
  <c r="D17" i="164"/>
  <c r="D16" i="164"/>
  <c r="D15" i="164"/>
  <c r="C12" i="164"/>
  <c r="C11" i="164"/>
  <c r="C10" i="164"/>
  <c r="C9" i="164"/>
  <c r="D17" i="163"/>
  <c r="D16" i="163"/>
  <c r="D15" i="163"/>
  <c r="C12" i="163"/>
  <c r="C11" i="163"/>
  <c r="C10" i="163"/>
  <c r="C9" i="163"/>
  <c r="D17" i="162"/>
  <c r="D15" i="162"/>
  <c r="C12" i="162"/>
  <c r="C11" i="162"/>
  <c r="C10" i="162"/>
  <c r="C9" i="162"/>
  <c r="I37" i="161"/>
  <c r="I33" i="161"/>
  <c r="G32" i="161"/>
  <c r="I29" i="161"/>
  <c r="G28" i="161"/>
  <c r="I25" i="161"/>
  <c r="G24" i="161"/>
  <c r="I21" i="161"/>
  <c r="G20" i="161"/>
  <c r="D17" i="161"/>
  <c r="D16" i="161"/>
  <c r="D15" i="161"/>
  <c r="C12" i="161"/>
  <c r="C11" i="161"/>
  <c r="C10" i="161"/>
  <c r="C9" i="161"/>
  <c r="A48" i="160"/>
  <c r="J37" i="160"/>
  <c r="I37" i="160"/>
  <c r="G37" i="160"/>
  <c r="F37" i="160"/>
  <c r="J36" i="160"/>
  <c r="I36" i="160"/>
  <c r="G36" i="160"/>
  <c r="F36" i="160"/>
  <c r="J35" i="160"/>
  <c r="I35" i="160"/>
  <c r="G35" i="160"/>
  <c r="F35" i="160"/>
  <c r="J34" i="160"/>
  <c r="I34" i="160"/>
  <c r="G34" i="160"/>
  <c r="F34" i="160"/>
  <c r="J33" i="160"/>
  <c r="I33" i="160"/>
  <c r="G33" i="160"/>
  <c r="F33" i="160"/>
  <c r="J32" i="160"/>
  <c r="I32" i="160"/>
  <c r="G32" i="160"/>
  <c r="F32" i="160"/>
  <c r="J31" i="160"/>
  <c r="I31" i="160"/>
  <c r="G31" i="160"/>
  <c r="F31" i="160"/>
  <c r="J30" i="160"/>
  <c r="I30" i="160"/>
  <c r="G30" i="160"/>
  <c r="F30" i="160"/>
  <c r="J29" i="160"/>
  <c r="I29" i="160"/>
  <c r="G29" i="160"/>
  <c r="F29" i="160"/>
  <c r="J28" i="160"/>
  <c r="I28" i="160"/>
  <c r="G28" i="160"/>
  <c r="F28" i="160"/>
  <c r="J27" i="160"/>
  <c r="I27" i="160"/>
  <c r="G27" i="160"/>
  <c r="F27" i="160"/>
  <c r="J26" i="160"/>
  <c r="I26" i="160"/>
  <c r="G26" i="160"/>
  <c r="F26" i="160"/>
  <c r="J25" i="160"/>
  <c r="I25" i="160"/>
  <c r="G25" i="160"/>
  <c r="F25" i="160"/>
  <c r="J24" i="160"/>
  <c r="I24" i="160"/>
  <c r="G24" i="160"/>
  <c r="F24" i="160"/>
  <c r="J23" i="160"/>
  <c r="I23" i="160"/>
  <c r="G23" i="160"/>
  <c r="F23" i="160"/>
  <c r="J22" i="160"/>
  <c r="I22" i="160"/>
  <c r="G22" i="160"/>
  <c r="F22" i="160"/>
  <c r="J21" i="160"/>
  <c r="I21" i="160"/>
  <c r="G21" i="160"/>
  <c r="F21" i="160"/>
  <c r="J20" i="160"/>
  <c r="I20" i="160"/>
  <c r="G20" i="160"/>
  <c r="F20" i="160"/>
  <c r="J19" i="160"/>
  <c r="I19" i="160"/>
  <c r="G19" i="160"/>
  <c r="F19" i="160"/>
  <c r="D17" i="160"/>
  <c r="D15" i="160"/>
  <c r="C12" i="160"/>
  <c r="C11" i="160"/>
  <c r="C10" i="160"/>
  <c r="C9" i="160"/>
  <c r="A45" i="160"/>
  <c r="A48" i="159"/>
  <c r="A45" i="159"/>
  <c r="J37" i="159"/>
  <c r="I37" i="159"/>
  <c r="G37" i="159"/>
  <c r="F37" i="159"/>
  <c r="J36" i="159"/>
  <c r="I36" i="159"/>
  <c r="G36" i="159"/>
  <c r="F36" i="159"/>
  <c r="J35" i="159"/>
  <c r="I35" i="159"/>
  <c r="G35" i="159"/>
  <c r="F35" i="159"/>
  <c r="J34" i="159"/>
  <c r="I34" i="159"/>
  <c r="G34" i="159"/>
  <c r="F34" i="159"/>
  <c r="J33" i="159"/>
  <c r="I33" i="159"/>
  <c r="G33" i="159"/>
  <c r="F33" i="159"/>
  <c r="J32" i="159"/>
  <c r="I32" i="159"/>
  <c r="G32" i="159"/>
  <c r="F32" i="159"/>
  <c r="J31" i="159"/>
  <c r="I31" i="159"/>
  <c r="G31" i="159"/>
  <c r="F31" i="159"/>
  <c r="J30" i="159"/>
  <c r="I30" i="159"/>
  <c r="G30" i="159"/>
  <c r="F30" i="159"/>
  <c r="J29" i="159"/>
  <c r="I29" i="159"/>
  <c r="G29" i="159"/>
  <c r="F29" i="159"/>
  <c r="J28" i="159"/>
  <c r="I28" i="159"/>
  <c r="G28" i="159"/>
  <c r="F28" i="159"/>
  <c r="J27" i="159"/>
  <c r="I27" i="159"/>
  <c r="G27" i="159"/>
  <c r="F27" i="159"/>
  <c r="J26" i="159"/>
  <c r="I26" i="159"/>
  <c r="G26" i="159"/>
  <c r="F26" i="159"/>
  <c r="J25" i="159"/>
  <c r="I25" i="159"/>
  <c r="G25" i="159"/>
  <c r="F25" i="159"/>
  <c r="J24" i="159"/>
  <c r="I24" i="159"/>
  <c r="G24" i="159"/>
  <c r="F24" i="159"/>
  <c r="J23" i="159"/>
  <c r="I23" i="159"/>
  <c r="G23" i="159"/>
  <c r="F23" i="159"/>
  <c r="J22" i="159"/>
  <c r="I22" i="159"/>
  <c r="G22" i="159"/>
  <c r="F22" i="159"/>
  <c r="J21" i="159"/>
  <c r="I21" i="159"/>
  <c r="G21" i="159"/>
  <c r="F21" i="159"/>
  <c r="J20" i="159"/>
  <c r="I20" i="159"/>
  <c r="G20" i="159"/>
  <c r="F20" i="159"/>
  <c r="J19" i="159"/>
  <c r="I19" i="159"/>
  <c r="G19" i="159"/>
  <c r="F19" i="159"/>
  <c r="D17" i="159"/>
  <c r="D15" i="159"/>
  <c r="C12" i="159"/>
  <c r="C11" i="159"/>
  <c r="C10" i="159"/>
  <c r="C9" i="159"/>
  <c r="D16" i="159"/>
  <c r="A48" i="158"/>
  <c r="A45" i="158"/>
  <c r="J37" i="158"/>
  <c r="I37" i="158"/>
  <c r="G37" i="158"/>
  <c r="F37" i="158"/>
  <c r="J36" i="158"/>
  <c r="I36" i="158"/>
  <c r="G36" i="158"/>
  <c r="F36" i="158"/>
  <c r="J35" i="158"/>
  <c r="I35" i="158"/>
  <c r="G35" i="158"/>
  <c r="F35" i="158"/>
  <c r="J34" i="158"/>
  <c r="I34" i="158"/>
  <c r="G34" i="158"/>
  <c r="F34" i="158"/>
  <c r="J33" i="158"/>
  <c r="I33" i="158"/>
  <c r="G33" i="158"/>
  <c r="F33" i="158"/>
  <c r="J32" i="158"/>
  <c r="I32" i="158"/>
  <c r="G32" i="158"/>
  <c r="F32" i="158"/>
  <c r="J31" i="158"/>
  <c r="I31" i="158"/>
  <c r="G31" i="158"/>
  <c r="F31" i="158"/>
  <c r="J30" i="158"/>
  <c r="I30" i="158"/>
  <c r="G30" i="158"/>
  <c r="F30" i="158"/>
  <c r="J29" i="158"/>
  <c r="I29" i="158"/>
  <c r="G29" i="158"/>
  <c r="F29" i="158"/>
  <c r="J28" i="158"/>
  <c r="I28" i="158"/>
  <c r="G28" i="158"/>
  <c r="F28" i="158"/>
  <c r="J27" i="158"/>
  <c r="I27" i="158"/>
  <c r="G27" i="158"/>
  <c r="F27" i="158"/>
  <c r="J26" i="158"/>
  <c r="I26" i="158"/>
  <c r="G26" i="158"/>
  <c r="F26" i="158"/>
  <c r="J25" i="158"/>
  <c r="I25" i="158"/>
  <c r="G25" i="158"/>
  <c r="F25" i="158"/>
  <c r="J24" i="158"/>
  <c r="I24" i="158"/>
  <c r="G24" i="158"/>
  <c r="F24" i="158"/>
  <c r="J23" i="158"/>
  <c r="I23" i="158"/>
  <c r="G23" i="158"/>
  <c r="F23" i="158"/>
  <c r="J22" i="158"/>
  <c r="I22" i="158"/>
  <c r="G22" i="158"/>
  <c r="F22" i="158"/>
  <c r="J21" i="158"/>
  <c r="I21" i="158"/>
  <c r="G21" i="158"/>
  <c r="F21" i="158"/>
  <c r="J20" i="158"/>
  <c r="I20" i="158"/>
  <c r="G20" i="158"/>
  <c r="F20" i="158"/>
  <c r="J19" i="158"/>
  <c r="I19" i="158"/>
  <c r="G19" i="158"/>
  <c r="F19" i="158"/>
  <c r="D17" i="158"/>
  <c r="D15" i="158"/>
  <c r="C12" i="158"/>
  <c r="C11" i="158"/>
  <c r="C10" i="158"/>
  <c r="C9" i="158"/>
  <c r="D16" i="158"/>
  <c r="A48" i="157"/>
  <c r="A45" i="157"/>
  <c r="J37" i="157"/>
  <c r="I37" i="157"/>
  <c r="G37" i="157"/>
  <c r="F37" i="157"/>
  <c r="J36" i="157"/>
  <c r="I36" i="157"/>
  <c r="G36" i="157"/>
  <c r="F36" i="157"/>
  <c r="J35" i="157"/>
  <c r="I35" i="157"/>
  <c r="G35" i="157"/>
  <c r="F35" i="157"/>
  <c r="J34" i="157"/>
  <c r="I34" i="157"/>
  <c r="G34" i="157"/>
  <c r="F34" i="157"/>
  <c r="J33" i="157"/>
  <c r="I33" i="157"/>
  <c r="G33" i="157"/>
  <c r="F33" i="157"/>
  <c r="J32" i="157"/>
  <c r="I32" i="157"/>
  <c r="G32" i="157"/>
  <c r="F32" i="157"/>
  <c r="J31" i="157"/>
  <c r="I31" i="157"/>
  <c r="G31" i="157"/>
  <c r="F31" i="157"/>
  <c r="J30" i="157"/>
  <c r="I30" i="157"/>
  <c r="G30" i="157"/>
  <c r="F30" i="157"/>
  <c r="J29" i="157"/>
  <c r="I29" i="157"/>
  <c r="G29" i="157"/>
  <c r="F29" i="157"/>
  <c r="J28" i="157"/>
  <c r="I28" i="157"/>
  <c r="G28" i="157"/>
  <c r="F28" i="157"/>
  <c r="J27" i="157"/>
  <c r="I27" i="157"/>
  <c r="G27" i="157"/>
  <c r="F27" i="157"/>
  <c r="J26" i="157"/>
  <c r="I26" i="157"/>
  <c r="G26" i="157"/>
  <c r="F26" i="157"/>
  <c r="J25" i="157"/>
  <c r="I25" i="157"/>
  <c r="G25" i="157"/>
  <c r="F25" i="157"/>
  <c r="J24" i="157"/>
  <c r="I24" i="157"/>
  <c r="G24" i="157"/>
  <c r="F24" i="157"/>
  <c r="J23" i="157"/>
  <c r="I23" i="157"/>
  <c r="G23" i="157"/>
  <c r="F23" i="157"/>
  <c r="J22" i="157"/>
  <c r="I22" i="157"/>
  <c r="G22" i="157"/>
  <c r="F22" i="157"/>
  <c r="J21" i="157"/>
  <c r="I21" i="157"/>
  <c r="G21" i="157"/>
  <c r="F21" i="157"/>
  <c r="J20" i="157"/>
  <c r="I20" i="157"/>
  <c r="G20" i="157"/>
  <c r="F20" i="157"/>
  <c r="J19" i="157"/>
  <c r="I19" i="157"/>
  <c r="G19" i="157"/>
  <c r="F19" i="157"/>
  <c r="D17" i="157"/>
  <c r="D15" i="157"/>
  <c r="C12" i="157"/>
  <c r="C11" i="157"/>
  <c r="C10" i="157"/>
  <c r="C9" i="157"/>
  <c r="D16" i="157"/>
  <c r="A48" i="156"/>
  <c r="A45" i="156"/>
  <c r="J37" i="156"/>
  <c r="I37" i="156"/>
  <c r="G37" i="156"/>
  <c r="F37" i="156"/>
  <c r="J36" i="156"/>
  <c r="I36" i="156"/>
  <c r="G36" i="156"/>
  <c r="F36" i="156"/>
  <c r="J35" i="156"/>
  <c r="I35" i="156"/>
  <c r="G35" i="156"/>
  <c r="F35" i="156"/>
  <c r="J34" i="156"/>
  <c r="I34" i="156"/>
  <c r="G34" i="156"/>
  <c r="F34" i="156"/>
  <c r="J33" i="156"/>
  <c r="I33" i="156"/>
  <c r="G33" i="156"/>
  <c r="F33" i="156"/>
  <c r="J32" i="156"/>
  <c r="I32" i="156"/>
  <c r="G32" i="156"/>
  <c r="F32" i="156"/>
  <c r="J31" i="156"/>
  <c r="I31" i="156"/>
  <c r="G31" i="156"/>
  <c r="F31" i="156"/>
  <c r="J30" i="156"/>
  <c r="I30" i="156"/>
  <c r="G30" i="156"/>
  <c r="F30" i="156"/>
  <c r="J29" i="156"/>
  <c r="I29" i="156"/>
  <c r="G29" i="156"/>
  <c r="F29" i="156"/>
  <c r="J28" i="156"/>
  <c r="I28" i="156"/>
  <c r="G28" i="156"/>
  <c r="F28" i="156"/>
  <c r="J27" i="156"/>
  <c r="I27" i="156"/>
  <c r="G27" i="156"/>
  <c r="F27" i="156"/>
  <c r="J26" i="156"/>
  <c r="I26" i="156"/>
  <c r="G26" i="156"/>
  <c r="F26" i="156"/>
  <c r="J25" i="156"/>
  <c r="I25" i="156"/>
  <c r="G25" i="156"/>
  <c r="F25" i="156"/>
  <c r="J24" i="156"/>
  <c r="I24" i="156"/>
  <c r="G24" i="156"/>
  <c r="F24" i="156"/>
  <c r="J23" i="156"/>
  <c r="I23" i="156"/>
  <c r="G23" i="156"/>
  <c r="F23" i="156"/>
  <c r="J22" i="156"/>
  <c r="I22" i="156"/>
  <c r="G22" i="156"/>
  <c r="F22" i="156"/>
  <c r="J21" i="156"/>
  <c r="I21" i="156"/>
  <c r="G21" i="156"/>
  <c r="F21" i="156"/>
  <c r="J20" i="156"/>
  <c r="I20" i="156"/>
  <c r="G20" i="156"/>
  <c r="F20" i="156"/>
  <c r="J19" i="156"/>
  <c r="I19" i="156"/>
  <c r="G19" i="156"/>
  <c r="F19" i="156"/>
  <c r="D17" i="156"/>
  <c r="D15" i="156"/>
  <c r="C12" i="156"/>
  <c r="C11" i="156"/>
  <c r="C10" i="156"/>
  <c r="C9" i="156"/>
  <c r="D16" i="156"/>
  <c r="D17" i="155"/>
  <c r="D16" i="155"/>
  <c r="D15" i="155"/>
  <c r="C12" i="155"/>
  <c r="C11" i="155"/>
  <c r="C10" i="155"/>
  <c r="C9" i="155"/>
  <c r="G20" i="154"/>
  <c r="G19" i="154"/>
  <c r="D17" i="154"/>
  <c r="D16" i="154"/>
  <c r="D15" i="154"/>
  <c r="C12" i="154"/>
  <c r="C11" i="154"/>
  <c r="C10" i="154"/>
  <c r="C9" i="154"/>
  <c r="A48" i="153"/>
  <c r="G37" i="153"/>
  <c r="I35" i="153"/>
  <c r="G35" i="153"/>
  <c r="I34" i="153"/>
  <c r="G34" i="153"/>
  <c r="I33" i="153"/>
  <c r="G33" i="153"/>
  <c r="I32" i="153"/>
  <c r="G32" i="153"/>
  <c r="I31" i="153"/>
  <c r="G31" i="153"/>
  <c r="I30" i="153"/>
  <c r="G30" i="153"/>
  <c r="I29" i="153"/>
  <c r="G29" i="153"/>
  <c r="I28" i="153"/>
  <c r="G28" i="153"/>
  <c r="I27" i="153"/>
  <c r="G27" i="153"/>
  <c r="I26" i="153"/>
  <c r="G26" i="153"/>
  <c r="I25" i="153"/>
  <c r="G25" i="153"/>
  <c r="I24" i="153"/>
  <c r="G24" i="153"/>
  <c r="I23" i="153"/>
  <c r="G23" i="153"/>
  <c r="I22" i="153"/>
  <c r="G22" i="153"/>
  <c r="I21" i="153"/>
  <c r="G21" i="153"/>
  <c r="I20" i="153"/>
  <c r="G20" i="153"/>
  <c r="I19" i="153"/>
  <c r="G19" i="153"/>
  <c r="D17" i="153"/>
  <c r="D15" i="153"/>
  <c r="C12" i="153"/>
  <c r="C11" i="153"/>
  <c r="C10" i="153"/>
  <c r="C9" i="153"/>
  <c r="G36" i="153"/>
  <c r="I37" i="152"/>
  <c r="I36" i="152"/>
  <c r="I35" i="152"/>
  <c r="I34" i="152"/>
  <c r="I33" i="152"/>
  <c r="I32" i="152"/>
  <c r="I31" i="152"/>
  <c r="I30" i="152"/>
  <c r="I29" i="152"/>
  <c r="I28" i="152"/>
  <c r="I27" i="152"/>
  <c r="I26" i="152"/>
  <c r="I24" i="152"/>
  <c r="I23" i="152"/>
  <c r="I22" i="152"/>
  <c r="I21" i="152"/>
  <c r="I20" i="152"/>
  <c r="I19" i="152"/>
  <c r="D17" i="152"/>
  <c r="D15" i="152"/>
  <c r="C12" i="152"/>
  <c r="C11" i="152"/>
  <c r="C10" i="152"/>
  <c r="C9" i="152"/>
  <c r="G24" i="152"/>
  <c r="I37" i="151"/>
  <c r="I36" i="151"/>
  <c r="I35" i="151"/>
  <c r="I34" i="151"/>
  <c r="I33" i="151"/>
  <c r="I32" i="151"/>
  <c r="I31" i="151"/>
  <c r="I30" i="151"/>
  <c r="I29" i="151"/>
  <c r="I28" i="151"/>
  <c r="I27" i="151"/>
  <c r="I26" i="151"/>
  <c r="I25" i="151"/>
  <c r="I24" i="151"/>
  <c r="I23" i="151"/>
  <c r="I22" i="151"/>
  <c r="I21" i="151"/>
  <c r="I20" i="151"/>
  <c r="I19" i="151"/>
  <c r="D17" i="151"/>
  <c r="D15" i="151"/>
  <c r="C12" i="151"/>
  <c r="C11" i="151"/>
  <c r="C10" i="151"/>
  <c r="C9" i="151"/>
  <c r="D16" i="151"/>
  <c r="D17" i="150"/>
  <c r="D16" i="150"/>
  <c r="D15" i="150"/>
  <c r="C12" i="150"/>
  <c r="C11" i="150"/>
  <c r="C10" i="150"/>
  <c r="C9" i="150"/>
  <c r="I36" i="150"/>
  <c r="D17" i="149"/>
  <c r="D16" i="149"/>
  <c r="D15" i="149"/>
  <c r="C12" i="149"/>
  <c r="C11" i="149"/>
  <c r="C10" i="149"/>
  <c r="C9" i="149"/>
  <c r="D17" i="148"/>
  <c r="D16" i="148"/>
  <c r="D15" i="148"/>
  <c r="C12" i="148"/>
  <c r="C11" i="148"/>
  <c r="C10" i="148"/>
  <c r="C9" i="148"/>
  <c r="D17" i="147"/>
  <c r="D15" i="147"/>
  <c r="C12" i="147"/>
  <c r="C11" i="147"/>
  <c r="C10" i="147"/>
  <c r="C9" i="147"/>
  <c r="D17" i="146"/>
  <c r="D15" i="146"/>
  <c r="C12" i="146"/>
  <c r="C11" i="146"/>
  <c r="C10" i="146"/>
  <c r="C9" i="146"/>
  <c r="A48" i="146"/>
  <c r="D17" i="145"/>
  <c r="D15" i="145"/>
  <c r="C12" i="145"/>
  <c r="C11" i="145"/>
  <c r="C10" i="145"/>
  <c r="C9" i="145"/>
  <c r="A48" i="145"/>
  <c r="AO37" i="95"/>
  <c r="AP37" i="95" s="1"/>
  <c r="AO38" i="95"/>
  <c r="AP38" i="95" s="1"/>
  <c r="AO39" i="95"/>
  <c r="AP39" i="95" s="1"/>
  <c r="AO40" i="95"/>
  <c r="AP40" i="95" s="1"/>
  <c r="AO41" i="95"/>
  <c r="AP41" i="95" s="1"/>
  <c r="AO42" i="95"/>
  <c r="AP42" i="95" s="1"/>
  <c r="AO43" i="95"/>
  <c r="AP43" i="95" s="1"/>
  <c r="AO44" i="95"/>
  <c r="AP44" i="95" s="1"/>
  <c r="AO45" i="95"/>
  <c r="AP45" i="95" s="1"/>
  <c r="AO46" i="95"/>
  <c r="AP46" i="95" s="1"/>
  <c r="AO47" i="95"/>
  <c r="AP47" i="95" s="1"/>
  <c r="AO48" i="95"/>
  <c r="AP48" i="95" s="1"/>
  <c r="A48" i="12"/>
  <c r="A45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G37" i="12"/>
  <c r="G36" i="12"/>
  <c r="G35" i="12"/>
  <c r="G34" i="12"/>
  <c r="G33" i="12"/>
  <c r="G32" i="12"/>
  <c r="G31" i="12"/>
  <c r="G30" i="12"/>
  <c r="G29" i="12"/>
  <c r="G28" i="12"/>
  <c r="G27" i="12"/>
  <c r="G26" i="12"/>
  <c r="G25" i="12"/>
  <c r="G24" i="12"/>
  <c r="G23" i="12"/>
  <c r="G22" i="12"/>
  <c r="G21" i="12"/>
  <c r="G20" i="12"/>
  <c r="G19" i="12"/>
  <c r="I37" i="12"/>
  <c r="I36" i="12"/>
  <c r="I35" i="12"/>
  <c r="I34" i="12"/>
  <c r="I33" i="12"/>
  <c r="I32" i="12"/>
  <c r="I31" i="12"/>
  <c r="I30" i="12"/>
  <c r="I29" i="12"/>
  <c r="I28" i="12"/>
  <c r="I27" i="12"/>
  <c r="I26" i="12"/>
  <c r="I25" i="12"/>
  <c r="I24" i="12"/>
  <c r="I23" i="12"/>
  <c r="I22" i="12"/>
  <c r="I21" i="12"/>
  <c r="I20" i="12"/>
  <c r="I19" i="12"/>
  <c r="J37" i="12"/>
  <c r="J36" i="12"/>
  <c r="J35" i="12"/>
  <c r="J34" i="12"/>
  <c r="J33" i="12"/>
  <c r="J32" i="12"/>
  <c r="J31" i="12"/>
  <c r="J30" i="12"/>
  <c r="J29" i="12"/>
  <c r="J28" i="12"/>
  <c r="J27" i="12"/>
  <c r="J26" i="12"/>
  <c r="J25" i="12"/>
  <c r="J24" i="12"/>
  <c r="J23" i="12"/>
  <c r="J22" i="12"/>
  <c r="J21" i="12"/>
  <c r="J20" i="12"/>
  <c r="J19" i="12"/>
  <c r="C8" i="12"/>
  <c r="B18" i="52"/>
  <c r="AP38" i="52"/>
  <c r="AP40" i="52"/>
  <c r="AP42" i="52"/>
  <c r="AP46" i="52"/>
  <c r="AO37" i="52"/>
  <c r="AP37" i="52" s="1"/>
  <c r="AO38" i="52"/>
  <c r="AO39" i="52"/>
  <c r="AP39" i="52" s="1"/>
  <c r="AO40" i="52"/>
  <c r="AO41" i="52"/>
  <c r="AP41" i="52" s="1"/>
  <c r="AO42" i="52"/>
  <c r="AO43" i="52"/>
  <c r="AP43" i="52" s="1"/>
  <c r="AO44" i="52"/>
  <c r="AP44" i="52" s="1"/>
  <c r="AO45" i="52"/>
  <c r="AP45" i="52" s="1"/>
  <c r="AO46" i="52"/>
  <c r="AO47" i="52"/>
  <c r="AP47" i="52" s="1"/>
  <c r="AO48" i="52"/>
  <c r="AP48" i="52" s="1"/>
  <c r="AP37" i="1"/>
  <c r="AP38" i="1"/>
  <c r="AP39" i="1"/>
  <c r="AP40" i="1"/>
  <c r="AP41" i="1"/>
  <c r="AP42" i="1"/>
  <c r="AP43" i="1"/>
  <c r="AP44" i="1"/>
  <c r="AP45" i="1"/>
  <c r="AP46" i="1"/>
  <c r="AO37" i="1"/>
  <c r="AO38" i="1"/>
  <c r="AO39" i="1"/>
  <c r="AO40" i="1"/>
  <c r="AO41" i="1"/>
  <c r="AO42" i="1"/>
  <c r="AO43" i="1"/>
  <c r="AO44" i="1"/>
  <c r="AO45" i="1"/>
  <c r="AO46" i="1"/>
  <c r="AO47" i="1"/>
  <c r="AP47" i="1" s="1"/>
  <c r="AO48" i="1"/>
  <c r="AP48" i="1" s="1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AO36" i="1"/>
  <c r="AP36" i="1" s="1"/>
  <c r="H19" i="159" l="1"/>
  <c r="H20" i="159"/>
  <c r="H22" i="159"/>
  <c r="K22" i="159" s="1"/>
  <c r="H23" i="159"/>
  <c r="K23" i="159" s="1"/>
  <c r="H24" i="159"/>
  <c r="H26" i="159"/>
  <c r="H27" i="159"/>
  <c r="K27" i="159" s="1"/>
  <c r="H28" i="159"/>
  <c r="L28" i="159" s="1"/>
  <c r="M28" i="159" s="1"/>
  <c r="H30" i="159"/>
  <c r="H31" i="159"/>
  <c r="H32" i="159"/>
  <c r="H34" i="159"/>
  <c r="K34" i="159" s="1"/>
  <c r="H35" i="159"/>
  <c r="H36" i="159"/>
  <c r="H20" i="157"/>
  <c r="L20" i="157" s="1"/>
  <c r="M20" i="157" s="1"/>
  <c r="H22" i="157"/>
  <c r="K22" i="157" s="1"/>
  <c r="H24" i="157"/>
  <c r="L24" i="157" s="1"/>
  <c r="M24" i="157" s="1"/>
  <c r="H26" i="157"/>
  <c r="K26" i="157" s="1"/>
  <c r="H28" i="157"/>
  <c r="L28" i="157" s="1"/>
  <c r="M28" i="157" s="1"/>
  <c r="H30" i="157"/>
  <c r="L30" i="157" s="1"/>
  <c r="M30" i="157" s="1"/>
  <c r="H32" i="157"/>
  <c r="K32" i="157" s="1"/>
  <c r="H34" i="157"/>
  <c r="L34" i="157" s="1"/>
  <c r="M34" i="157" s="1"/>
  <c r="H36" i="157"/>
  <c r="L36" i="157" s="1"/>
  <c r="M36" i="157" s="1"/>
  <c r="L22" i="159"/>
  <c r="M22" i="159" s="1"/>
  <c r="L30" i="159"/>
  <c r="M30" i="159" s="1"/>
  <c r="H20" i="156"/>
  <c r="K20" i="156" s="1"/>
  <c r="H22" i="156"/>
  <c r="K22" i="156" s="1"/>
  <c r="H24" i="156"/>
  <c r="L24" i="156" s="1"/>
  <c r="M24" i="156" s="1"/>
  <c r="H26" i="156"/>
  <c r="K26" i="156" s="1"/>
  <c r="H28" i="156"/>
  <c r="L28" i="156" s="1"/>
  <c r="M28" i="156" s="1"/>
  <c r="H30" i="156"/>
  <c r="L30" i="156" s="1"/>
  <c r="M30" i="156" s="1"/>
  <c r="H32" i="156"/>
  <c r="L32" i="156" s="1"/>
  <c r="M32" i="156" s="1"/>
  <c r="H34" i="156"/>
  <c r="L34" i="156" s="1"/>
  <c r="M34" i="156" s="1"/>
  <c r="H36" i="156"/>
  <c r="L36" i="156" s="1"/>
  <c r="M36" i="156" s="1"/>
  <c r="H20" i="158"/>
  <c r="L20" i="158" s="1"/>
  <c r="M20" i="158" s="1"/>
  <c r="H22" i="158"/>
  <c r="L22" i="158" s="1"/>
  <c r="M22" i="158" s="1"/>
  <c r="H24" i="158"/>
  <c r="L24" i="158" s="1"/>
  <c r="M24" i="158" s="1"/>
  <c r="H26" i="158"/>
  <c r="L26" i="158" s="1"/>
  <c r="M26" i="158" s="1"/>
  <c r="H28" i="158"/>
  <c r="K28" i="158" s="1"/>
  <c r="H30" i="158"/>
  <c r="L30" i="158" s="1"/>
  <c r="M30" i="158" s="1"/>
  <c r="H32" i="158"/>
  <c r="L32" i="158" s="1"/>
  <c r="M32" i="158" s="1"/>
  <c r="H33" i="158"/>
  <c r="L33" i="158" s="1"/>
  <c r="M33" i="158" s="1"/>
  <c r="H35" i="158"/>
  <c r="L35" i="158" s="1"/>
  <c r="M35" i="158" s="1"/>
  <c r="H36" i="158"/>
  <c r="L36" i="158" s="1"/>
  <c r="M36" i="158" s="1"/>
  <c r="H37" i="158"/>
  <c r="L37" i="158" s="1"/>
  <c r="M37" i="158" s="1"/>
  <c r="H19" i="160"/>
  <c r="K19" i="160" s="1"/>
  <c r="H21" i="160"/>
  <c r="L21" i="160" s="1"/>
  <c r="M21" i="160" s="1"/>
  <c r="H22" i="160"/>
  <c r="L22" i="160" s="1"/>
  <c r="M22" i="160" s="1"/>
  <c r="H23" i="160"/>
  <c r="L23" i="160" s="1"/>
  <c r="M23" i="160" s="1"/>
  <c r="H25" i="160"/>
  <c r="L25" i="160" s="1"/>
  <c r="M25" i="160" s="1"/>
  <c r="H26" i="160"/>
  <c r="K26" i="160" s="1"/>
  <c r="H27" i="160"/>
  <c r="L27" i="160" s="1"/>
  <c r="M27" i="160" s="1"/>
  <c r="H29" i="160"/>
  <c r="L29" i="160" s="1"/>
  <c r="M29" i="160" s="1"/>
  <c r="H30" i="160"/>
  <c r="K30" i="160" s="1"/>
  <c r="H31" i="160"/>
  <c r="L31" i="160" s="1"/>
  <c r="M31" i="160" s="1"/>
  <c r="H33" i="160"/>
  <c r="L33" i="160" s="1"/>
  <c r="M33" i="160" s="1"/>
  <c r="H34" i="160"/>
  <c r="L34" i="160" s="1"/>
  <c r="M34" i="160" s="1"/>
  <c r="H35" i="160"/>
  <c r="L35" i="160" s="1"/>
  <c r="M35" i="160" s="1"/>
  <c r="H37" i="160"/>
  <c r="L37" i="160" s="1"/>
  <c r="M37" i="160" s="1"/>
  <c r="L26" i="159"/>
  <c r="M26" i="159" s="1"/>
  <c r="K26" i="159"/>
  <c r="K30" i="159"/>
  <c r="K24" i="157"/>
  <c r="L26" i="157"/>
  <c r="M26" i="157" s="1"/>
  <c r="L32" i="157"/>
  <c r="M32" i="157" s="1"/>
  <c r="L27" i="159"/>
  <c r="M27" i="159" s="1"/>
  <c r="L31" i="159"/>
  <c r="M31" i="159" s="1"/>
  <c r="K31" i="159"/>
  <c r="L35" i="159"/>
  <c r="M35" i="159" s="1"/>
  <c r="K35" i="159"/>
  <c r="A48" i="162"/>
  <c r="G37" i="162"/>
  <c r="G36" i="162"/>
  <c r="G35" i="162"/>
  <c r="G34" i="162"/>
  <c r="G33" i="162"/>
  <c r="G32" i="162"/>
  <c r="G31" i="162"/>
  <c r="G30" i="162"/>
  <c r="G29" i="162"/>
  <c r="G28" i="162"/>
  <c r="G27" i="162"/>
  <c r="G26" i="162"/>
  <c r="G25" i="162"/>
  <c r="G24" i="162"/>
  <c r="G23" i="162"/>
  <c r="G22" i="162"/>
  <c r="G21" i="162"/>
  <c r="G20" i="162"/>
  <c r="G19" i="162"/>
  <c r="A45" i="162"/>
  <c r="J37" i="162"/>
  <c r="F37" i="162"/>
  <c r="J36" i="162"/>
  <c r="F36" i="162"/>
  <c r="J35" i="162"/>
  <c r="F35" i="162"/>
  <c r="J34" i="162"/>
  <c r="F34" i="162"/>
  <c r="H34" i="162" s="1"/>
  <c r="J33" i="162"/>
  <c r="F33" i="162"/>
  <c r="J32" i="162"/>
  <c r="F32" i="162"/>
  <c r="J31" i="162"/>
  <c r="F31" i="162"/>
  <c r="J30" i="162"/>
  <c r="F30" i="162"/>
  <c r="H30" i="162" s="1"/>
  <c r="J29" i="162"/>
  <c r="F29" i="162"/>
  <c r="J28" i="162"/>
  <c r="F28" i="162"/>
  <c r="J27" i="162"/>
  <c r="F27" i="162"/>
  <c r="J26" i="162"/>
  <c r="F26" i="162"/>
  <c r="H26" i="162" s="1"/>
  <c r="J25" i="162"/>
  <c r="F25" i="162"/>
  <c r="J24" i="162"/>
  <c r="F24" i="162"/>
  <c r="J23" i="162"/>
  <c r="F23" i="162"/>
  <c r="J22" i="162"/>
  <c r="F22" i="162"/>
  <c r="H22" i="162" s="1"/>
  <c r="J21" i="162"/>
  <c r="F21" i="162"/>
  <c r="J20" i="162"/>
  <c r="F20" i="162"/>
  <c r="J19" i="162"/>
  <c r="F19" i="162"/>
  <c r="D16" i="162"/>
  <c r="I37" i="162"/>
  <c r="I36" i="162"/>
  <c r="I35" i="162"/>
  <c r="I34" i="162"/>
  <c r="I33" i="162"/>
  <c r="I32" i="162"/>
  <c r="I31" i="162"/>
  <c r="I30" i="162"/>
  <c r="I29" i="162"/>
  <c r="I28" i="162"/>
  <c r="I27" i="162"/>
  <c r="I26" i="162"/>
  <c r="I25" i="162"/>
  <c r="I24" i="162"/>
  <c r="I23" i="162"/>
  <c r="I22" i="162"/>
  <c r="I21" i="162"/>
  <c r="I20" i="162"/>
  <c r="I19" i="162"/>
  <c r="L20" i="159"/>
  <c r="M20" i="159" s="1"/>
  <c r="K20" i="159"/>
  <c r="L24" i="159"/>
  <c r="M24" i="159" s="1"/>
  <c r="K24" i="159"/>
  <c r="L32" i="159"/>
  <c r="M32" i="159" s="1"/>
  <c r="K32" i="159"/>
  <c r="L36" i="159"/>
  <c r="M36" i="159" s="1"/>
  <c r="K36" i="159"/>
  <c r="A48" i="161"/>
  <c r="G37" i="161"/>
  <c r="G36" i="161"/>
  <c r="A45" i="161"/>
  <c r="J37" i="161"/>
  <c r="F37" i="161"/>
  <c r="H37" i="161" s="1"/>
  <c r="J36" i="161"/>
  <c r="F36" i="161"/>
  <c r="J35" i="161"/>
  <c r="F35" i="161"/>
  <c r="J34" i="161"/>
  <c r="F34" i="161"/>
  <c r="J33" i="161"/>
  <c r="F33" i="161"/>
  <c r="J32" i="161"/>
  <c r="F32" i="161"/>
  <c r="H32" i="161" s="1"/>
  <c r="J31" i="161"/>
  <c r="F31" i="161"/>
  <c r="J30" i="161"/>
  <c r="F30" i="161"/>
  <c r="J29" i="161"/>
  <c r="F29" i="161"/>
  <c r="J28" i="161"/>
  <c r="F28" i="161"/>
  <c r="H28" i="161" s="1"/>
  <c r="J27" i="161"/>
  <c r="F27" i="161"/>
  <c r="J26" i="161"/>
  <c r="F26" i="161"/>
  <c r="J25" i="161"/>
  <c r="F25" i="161"/>
  <c r="J24" i="161"/>
  <c r="F24" i="161"/>
  <c r="H24" i="161" s="1"/>
  <c r="J23" i="161"/>
  <c r="F23" i="161"/>
  <c r="J22" i="161"/>
  <c r="F22" i="161"/>
  <c r="J21" i="161"/>
  <c r="F21" i="161"/>
  <c r="J20" i="161"/>
  <c r="F20" i="161"/>
  <c r="H20" i="161" s="1"/>
  <c r="J19" i="161"/>
  <c r="F19" i="161"/>
  <c r="G35" i="161"/>
  <c r="I34" i="161"/>
  <c r="G33" i="161"/>
  <c r="I32" i="161"/>
  <c r="G31" i="161"/>
  <c r="I30" i="161"/>
  <c r="G29" i="161"/>
  <c r="I28" i="161"/>
  <c r="G27" i="161"/>
  <c r="I26" i="161"/>
  <c r="G25" i="161"/>
  <c r="I24" i="161"/>
  <c r="G23" i="161"/>
  <c r="I22" i="161"/>
  <c r="G21" i="161"/>
  <c r="I20" i="161"/>
  <c r="G19" i="161"/>
  <c r="I36" i="161"/>
  <c r="L26" i="156"/>
  <c r="M26" i="156" s="1"/>
  <c r="K34" i="156"/>
  <c r="K20" i="157"/>
  <c r="L22" i="157"/>
  <c r="M22" i="157" s="1"/>
  <c r="K22" i="158"/>
  <c r="L28" i="158"/>
  <c r="M28" i="158" s="1"/>
  <c r="L19" i="159"/>
  <c r="M19" i="159" s="1"/>
  <c r="K19" i="159"/>
  <c r="L23" i="159"/>
  <c r="M23" i="159" s="1"/>
  <c r="H19" i="156"/>
  <c r="H21" i="156"/>
  <c r="H23" i="156"/>
  <c r="H25" i="156"/>
  <c r="H27" i="156"/>
  <c r="H29" i="156"/>
  <c r="H31" i="156"/>
  <c r="H33" i="156"/>
  <c r="H35" i="156"/>
  <c r="H37" i="156"/>
  <c r="H19" i="157"/>
  <c r="H21" i="157"/>
  <c r="H23" i="157"/>
  <c r="H25" i="157"/>
  <c r="H27" i="157"/>
  <c r="H29" i="157"/>
  <c r="H31" i="157"/>
  <c r="H33" i="157"/>
  <c r="H35" i="157"/>
  <c r="H37" i="157"/>
  <c r="H19" i="158"/>
  <c r="H21" i="158"/>
  <c r="H23" i="158"/>
  <c r="H25" i="158"/>
  <c r="H27" i="158"/>
  <c r="H29" i="158"/>
  <c r="H31" i="158"/>
  <c r="H34" i="158"/>
  <c r="H21" i="159"/>
  <c r="H25" i="159"/>
  <c r="H29" i="159"/>
  <c r="H33" i="159"/>
  <c r="H37" i="159"/>
  <c r="H20" i="160"/>
  <c r="H24" i="160"/>
  <c r="H28" i="160"/>
  <c r="H32" i="160"/>
  <c r="H36" i="160"/>
  <c r="I19" i="161"/>
  <c r="G22" i="161"/>
  <c r="I23" i="161"/>
  <c r="G26" i="161"/>
  <c r="I27" i="161"/>
  <c r="G30" i="161"/>
  <c r="I31" i="161"/>
  <c r="G34" i="161"/>
  <c r="I35" i="161"/>
  <c r="A45" i="163"/>
  <c r="J37" i="163"/>
  <c r="G37" i="163"/>
  <c r="G36" i="163"/>
  <c r="G35" i="163"/>
  <c r="G34" i="163"/>
  <c r="G33" i="163"/>
  <c r="G32" i="163"/>
  <c r="G31" i="163"/>
  <c r="G30" i="163"/>
  <c r="G29" i="163"/>
  <c r="G28" i="163"/>
  <c r="G27" i="163"/>
  <c r="G26" i="163"/>
  <c r="G25" i="163"/>
  <c r="G24" i="163"/>
  <c r="G23" i="163"/>
  <c r="G22" i="163"/>
  <c r="G21" i="163"/>
  <c r="G20" i="163"/>
  <c r="G19" i="163"/>
  <c r="F37" i="163"/>
  <c r="J36" i="163"/>
  <c r="F36" i="163"/>
  <c r="H36" i="163" s="1"/>
  <c r="J35" i="163"/>
  <c r="F35" i="163"/>
  <c r="H35" i="163" s="1"/>
  <c r="J34" i="163"/>
  <c r="F34" i="163"/>
  <c r="J33" i="163"/>
  <c r="F33" i="163"/>
  <c r="J32" i="163"/>
  <c r="F32" i="163"/>
  <c r="H32" i="163" s="1"/>
  <c r="J31" i="163"/>
  <c r="F31" i="163"/>
  <c r="H31" i="163" s="1"/>
  <c r="J30" i="163"/>
  <c r="F30" i="163"/>
  <c r="J29" i="163"/>
  <c r="F29" i="163"/>
  <c r="J28" i="163"/>
  <c r="F28" i="163"/>
  <c r="H28" i="163" s="1"/>
  <c r="J27" i="163"/>
  <c r="F27" i="163"/>
  <c r="H27" i="163" s="1"/>
  <c r="J26" i="163"/>
  <c r="F26" i="163"/>
  <c r="J25" i="163"/>
  <c r="F25" i="163"/>
  <c r="J24" i="163"/>
  <c r="F24" i="163"/>
  <c r="H24" i="163" s="1"/>
  <c r="J23" i="163"/>
  <c r="F23" i="163"/>
  <c r="H23" i="163" s="1"/>
  <c r="J22" i="163"/>
  <c r="F22" i="163"/>
  <c r="J21" i="163"/>
  <c r="F21" i="163"/>
  <c r="J20" i="163"/>
  <c r="F20" i="163"/>
  <c r="H20" i="163" s="1"/>
  <c r="J19" i="163"/>
  <c r="F19" i="163"/>
  <c r="H19" i="163" s="1"/>
  <c r="A48" i="163"/>
  <c r="A48" i="165"/>
  <c r="G37" i="165"/>
  <c r="A45" i="165"/>
  <c r="J37" i="165"/>
  <c r="F37" i="165"/>
  <c r="J36" i="165"/>
  <c r="F36" i="165"/>
  <c r="I37" i="165"/>
  <c r="G35" i="165"/>
  <c r="G34" i="165"/>
  <c r="G33" i="165"/>
  <c r="G32" i="165"/>
  <c r="G31" i="165"/>
  <c r="G30" i="165"/>
  <c r="G29" i="165"/>
  <c r="G28" i="165"/>
  <c r="G27" i="165"/>
  <c r="G26" i="165"/>
  <c r="G25" i="165"/>
  <c r="G24" i="165"/>
  <c r="G23" i="165"/>
  <c r="G22" i="165"/>
  <c r="G21" i="165"/>
  <c r="G20" i="165"/>
  <c r="G19" i="165"/>
  <c r="G36" i="165"/>
  <c r="J35" i="165"/>
  <c r="F35" i="165"/>
  <c r="J34" i="165"/>
  <c r="F34" i="165"/>
  <c r="H34" i="165" s="1"/>
  <c r="J33" i="165"/>
  <c r="F33" i="165"/>
  <c r="J32" i="165"/>
  <c r="F32" i="165"/>
  <c r="J31" i="165"/>
  <c r="F31" i="165"/>
  <c r="J30" i="165"/>
  <c r="F30" i="165"/>
  <c r="H30" i="165" s="1"/>
  <c r="J29" i="165"/>
  <c r="F29" i="165"/>
  <c r="J28" i="165"/>
  <c r="F28" i="165"/>
  <c r="J27" i="165"/>
  <c r="F27" i="165"/>
  <c r="J26" i="165"/>
  <c r="F26" i="165"/>
  <c r="H26" i="165" s="1"/>
  <c r="J25" i="165"/>
  <c r="F25" i="165"/>
  <c r="J24" i="165"/>
  <c r="F24" i="165"/>
  <c r="J23" i="165"/>
  <c r="F23" i="165"/>
  <c r="J22" i="165"/>
  <c r="F22" i="165"/>
  <c r="H22" i="165" s="1"/>
  <c r="J21" i="165"/>
  <c r="F21" i="165"/>
  <c r="J20" i="165"/>
  <c r="F20" i="165"/>
  <c r="J19" i="165"/>
  <c r="F19" i="165"/>
  <c r="I35" i="165"/>
  <c r="I34" i="165"/>
  <c r="I33" i="165"/>
  <c r="I32" i="165"/>
  <c r="I31" i="165"/>
  <c r="I30" i="165"/>
  <c r="I29" i="165"/>
  <c r="I28" i="165"/>
  <c r="I27" i="165"/>
  <c r="I26" i="165"/>
  <c r="I25" i="165"/>
  <c r="I24" i="165"/>
  <c r="I23" i="165"/>
  <c r="I22" i="165"/>
  <c r="I21" i="165"/>
  <c r="I20" i="165"/>
  <c r="I19" i="165"/>
  <c r="I36" i="165"/>
  <c r="D16" i="160"/>
  <c r="I19" i="163"/>
  <c r="I20" i="163"/>
  <c r="I21" i="163"/>
  <c r="I22" i="163"/>
  <c r="I23" i="163"/>
  <c r="I24" i="163"/>
  <c r="I25" i="163"/>
  <c r="I26" i="163"/>
  <c r="I27" i="163"/>
  <c r="I28" i="163"/>
  <c r="I29" i="163"/>
  <c r="I30" i="163"/>
  <c r="I31" i="163"/>
  <c r="I32" i="163"/>
  <c r="I33" i="163"/>
  <c r="I34" i="163"/>
  <c r="I35" i="163"/>
  <c r="I36" i="163"/>
  <c r="I37" i="163"/>
  <c r="A48" i="164"/>
  <c r="G37" i="164"/>
  <c r="G36" i="164"/>
  <c r="G35" i="164"/>
  <c r="G34" i="164"/>
  <c r="G33" i="164"/>
  <c r="G32" i="164"/>
  <c r="G31" i="164"/>
  <c r="G30" i="164"/>
  <c r="G29" i="164"/>
  <c r="G28" i="164"/>
  <c r="G27" i="164"/>
  <c r="G26" i="164"/>
  <c r="G25" i="164"/>
  <c r="G24" i="164"/>
  <c r="A45" i="164"/>
  <c r="J37" i="164"/>
  <c r="F37" i="164"/>
  <c r="H37" i="164" s="1"/>
  <c r="J36" i="164"/>
  <c r="F36" i="164"/>
  <c r="H36" i="164" s="1"/>
  <c r="J35" i="164"/>
  <c r="F35" i="164"/>
  <c r="J34" i="164"/>
  <c r="F34" i="164"/>
  <c r="J33" i="164"/>
  <c r="F33" i="164"/>
  <c r="H33" i="164" s="1"/>
  <c r="J32" i="164"/>
  <c r="F32" i="164"/>
  <c r="H32" i="164" s="1"/>
  <c r="J31" i="164"/>
  <c r="F31" i="164"/>
  <c r="J30" i="164"/>
  <c r="F30" i="164"/>
  <c r="J29" i="164"/>
  <c r="F29" i="164"/>
  <c r="H29" i="164" s="1"/>
  <c r="J28" i="164"/>
  <c r="F28" i="164"/>
  <c r="H28" i="164" s="1"/>
  <c r="J27" i="164"/>
  <c r="F27" i="164"/>
  <c r="J26" i="164"/>
  <c r="F26" i="164"/>
  <c r="J25" i="164"/>
  <c r="F25" i="164"/>
  <c r="H25" i="164" s="1"/>
  <c r="J24" i="164"/>
  <c r="F24" i="164"/>
  <c r="H24" i="164" s="1"/>
  <c r="J23" i="164"/>
  <c r="F23" i="164"/>
  <c r="J22" i="164"/>
  <c r="F22" i="164"/>
  <c r="H22" i="164" s="1"/>
  <c r="J21" i="164"/>
  <c r="F21" i="164"/>
  <c r="J20" i="164"/>
  <c r="F20" i="164"/>
  <c r="H20" i="164" s="1"/>
  <c r="J19" i="164"/>
  <c r="F19" i="164"/>
  <c r="I24" i="164"/>
  <c r="I25" i="164"/>
  <c r="I26" i="164"/>
  <c r="I27" i="164"/>
  <c r="I28" i="164"/>
  <c r="I29" i="164"/>
  <c r="I30" i="164"/>
  <c r="I31" i="164"/>
  <c r="I32" i="164"/>
  <c r="I33" i="164"/>
  <c r="I34" i="164"/>
  <c r="I35" i="164"/>
  <c r="I36" i="164"/>
  <c r="I37" i="164"/>
  <c r="G19" i="164"/>
  <c r="I20" i="164"/>
  <c r="G21" i="164"/>
  <c r="I22" i="164"/>
  <c r="G23" i="164"/>
  <c r="I19" i="150"/>
  <c r="I20" i="150"/>
  <c r="I21" i="150"/>
  <c r="I22" i="150"/>
  <c r="I23" i="150"/>
  <c r="I24" i="150"/>
  <c r="I25" i="150"/>
  <c r="I26" i="150"/>
  <c r="I27" i="150"/>
  <c r="I28" i="150"/>
  <c r="I29" i="150"/>
  <c r="I30" i="150"/>
  <c r="I31" i="150"/>
  <c r="I32" i="150"/>
  <c r="I34" i="150"/>
  <c r="A48" i="150"/>
  <c r="G37" i="150"/>
  <c r="G36" i="150"/>
  <c r="G35" i="150"/>
  <c r="G34" i="150"/>
  <c r="G33" i="150"/>
  <c r="G32" i="150"/>
  <c r="G31" i="150"/>
  <c r="G30" i="150"/>
  <c r="G29" i="150"/>
  <c r="G28" i="150"/>
  <c r="G27" i="150"/>
  <c r="G26" i="150"/>
  <c r="G25" i="150"/>
  <c r="G24" i="150"/>
  <c r="G23" i="150"/>
  <c r="G22" i="150"/>
  <c r="G21" i="150"/>
  <c r="G20" i="150"/>
  <c r="G19" i="150"/>
  <c r="A45" i="150"/>
  <c r="J37" i="150"/>
  <c r="F37" i="150"/>
  <c r="J36" i="150"/>
  <c r="F36" i="150"/>
  <c r="J35" i="150"/>
  <c r="F35" i="150"/>
  <c r="J34" i="150"/>
  <c r="F34" i="150"/>
  <c r="H34" i="150" s="1"/>
  <c r="J33" i="150"/>
  <c r="F33" i="150"/>
  <c r="J32" i="150"/>
  <c r="F32" i="150"/>
  <c r="J31" i="150"/>
  <c r="F31" i="150"/>
  <c r="J30" i="150"/>
  <c r="F30" i="150"/>
  <c r="H30" i="150" s="1"/>
  <c r="J29" i="150"/>
  <c r="F29" i="150"/>
  <c r="J28" i="150"/>
  <c r="F28" i="150"/>
  <c r="J27" i="150"/>
  <c r="F27" i="150"/>
  <c r="J26" i="150"/>
  <c r="F26" i="150"/>
  <c r="J25" i="150"/>
  <c r="F25" i="150"/>
  <c r="J24" i="150"/>
  <c r="F24" i="150"/>
  <c r="J23" i="150"/>
  <c r="F23" i="150"/>
  <c r="J22" i="150"/>
  <c r="F22" i="150"/>
  <c r="H22" i="150" s="1"/>
  <c r="J21" i="150"/>
  <c r="F21" i="150"/>
  <c r="J20" i="150"/>
  <c r="F20" i="150"/>
  <c r="J19" i="150"/>
  <c r="F19" i="150"/>
  <c r="I33" i="150"/>
  <c r="I35" i="150"/>
  <c r="I37" i="150"/>
  <c r="F19" i="151"/>
  <c r="J19" i="151"/>
  <c r="F20" i="151"/>
  <c r="J20" i="151"/>
  <c r="F21" i="151"/>
  <c r="J21" i="151"/>
  <c r="F22" i="151"/>
  <c r="J22" i="151"/>
  <c r="F23" i="151"/>
  <c r="J23" i="151"/>
  <c r="F24" i="151"/>
  <c r="J24" i="151"/>
  <c r="F25" i="151"/>
  <c r="J25" i="151"/>
  <c r="F26" i="151"/>
  <c r="J26" i="151"/>
  <c r="F27" i="151"/>
  <c r="J27" i="151"/>
  <c r="F28" i="151"/>
  <c r="J28" i="151"/>
  <c r="F29" i="151"/>
  <c r="J29" i="151"/>
  <c r="F30" i="151"/>
  <c r="J30" i="151"/>
  <c r="F31" i="151"/>
  <c r="J31" i="151"/>
  <c r="F32" i="151"/>
  <c r="J32" i="151"/>
  <c r="F33" i="151"/>
  <c r="J33" i="151"/>
  <c r="F34" i="151"/>
  <c r="J34" i="151"/>
  <c r="F35" i="151"/>
  <c r="J35" i="151"/>
  <c r="F36" i="151"/>
  <c r="J36" i="151"/>
  <c r="F37" i="151"/>
  <c r="J37" i="151"/>
  <c r="A45" i="151"/>
  <c r="F19" i="152"/>
  <c r="J19" i="152"/>
  <c r="F20" i="152"/>
  <c r="J20" i="152"/>
  <c r="F21" i="152"/>
  <c r="J21" i="152"/>
  <c r="F22" i="152"/>
  <c r="J22" i="152"/>
  <c r="F23" i="152"/>
  <c r="J23" i="152"/>
  <c r="F24" i="152"/>
  <c r="H24" i="152" s="1"/>
  <c r="J24" i="152"/>
  <c r="G25" i="152"/>
  <c r="G19" i="151"/>
  <c r="G20" i="151"/>
  <c r="G21" i="151"/>
  <c r="G22" i="151"/>
  <c r="G23" i="151"/>
  <c r="G24" i="151"/>
  <c r="G25" i="151"/>
  <c r="G26" i="151"/>
  <c r="G27" i="151"/>
  <c r="G28" i="151"/>
  <c r="G29" i="151"/>
  <c r="G30" i="151"/>
  <c r="G31" i="151"/>
  <c r="G32" i="151"/>
  <c r="G33" i="151"/>
  <c r="G34" i="151"/>
  <c r="G35" i="151"/>
  <c r="G36" i="151"/>
  <c r="G37" i="151"/>
  <c r="A48" i="151"/>
  <c r="G19" i="152"/>
  <c r="G20" i="152"/>
  <c r="G21" i="152"/>
  <c r="G22" i="152"/>
  <c r="G23" i="152"/>
  <c r="A45" i="152"/>
  <c r="J37" i="152"/>
  <c r="F37" i="152"/>
  <c r="J36" i="152"/>
  <c r="F36" i="152"/>
  <c r="J35" i="152"/>
  <c r="F35" i="152"/>
  <c r="J34" i="152"/>
  <c r="F34" i="152"/>
  <c r="J33" i="152"/>
  <c r="F33" i="152"/>
  <c r="J32" i="152"/>
  <c r="F32" i="152"/>
  <c r="J31" i="152"/>
  <c r="F31" i="152"/>
  <c r="J30" i="152"/>
  <c r="F30" i="152"/>
  <c r="J29" i="152"/>
  <c r="F29" i="152"/>
  <c r="J28" i="152"/>
  <c r="F28" i="152"/>
  <c r="J27" i="152"/>
  <c r="F27" i="152"/>
  <c r="J26" i="152"/>
  <c r="F26" i="152"/>
  <c r="J25" i="152"/>
  <c r="F25" i="152"/>
  <c r="D16" i="152"/>
  <c r="I25" i="152"/>
  <c r="G26" i="152"/>
  <c r="G27" i="152"/>
  <c r="G28" i="152"/>
  <c r="G29" i="152"/>
  <c r="G30" i="152"/>
  <c r="G31" i="152"/>
  <c r="G32" i="152"/>
  <c r="G33" i="152"/>
  <c r="G34" i="152"/>
  <c r="G35" i="152"/>
  <c r="G36" i="152"/>
  <c r="G37" i="152"/>
  <c r="A48" i="152"/>
  <c r="F19" i="153"/>
  <c r="H19" i="153" s="1"/>
  <c r="J19" i="153"/>
  <c r="F20" i="153"/>
  <c r="H20" i="153" s="1"/>
  <c r="J20" i="153"/>
  <c r="F21" i="153"/>
  <c r="H21" i="153" s="1"/>
  <c r="J21" i="153"/>
  <c r="F22" i="153"/>
  <c r="H22" i="153" s="1"/>
  <c r="J22" i="153"/>
  <c r="F23" i="153"/>
  <c r="H23" i="153" s="1"/>
  <c r="J23" i="153"/>
  <c r="F24" i="153"/>
  <c r="H24" i="153" s="1"/>
  <c r="J24" i="153"/>
  <c r="F25" i="153"/>
  <c r="H25" i="153" s="1"/>
  <c r="J25" i="153"/>
  <c r="F26" i="153"/>
  <c r="H26" i="153" s="1"/>
  <c r="J26" i="153"/>
  <c r="F27" i="153"/>
  <c r="H27" i="153" s="1"/>
  <c r="J27" i="153"/>
  <c r="F28" i="153"/>
  <c r="H28" i="153" s="1"/>
  <c r="J28" i="153"/>
  <c r="F29" i="153"/>
  <c r="H29" i="153" s="1"/>
  <c r="J29" i="153"/>
  <c r="F30" i="153"/>
  <c r="H30" i="153" s="1"/>
  <c r="J30" i="153"/>
  <c r="F31" i="153"/>
  <c r="H31" i="153" s="1"/>
  <c r="J31" i="153"/>
  <c r="F32" i="153"/>
  <c r="H32" i="153" s="1"/>
  <c r="J32" i="153"/>
  <c r="F33" i="153"/>
  <c r="H33" i="153" s="1"/>
  <c r="J33" i="153"/>
  <c r="F34" i="153"/>
  <c r="H34" i="153" s="1"/>
  <c r="J34" i="153"/>
  <c r="F35" i="153"/>
  <c r="H35" i="153" s="1"/>
  <c r="J35" i="153"/>
  <c r="A48" i="155"/>
  <c r="G37" i="155"/>
  <c r="G36" i="155"/>
  <c r="G35" i="155"/>
  <c r="G34" i="155"/>
  <c r="G33" i="155"/>
  <c r="G32" i="155"/>
  <c r="G31" i="155"/>
  <c r="G30" i="155"/>
  <c r="G29" i="155"/>
  <c r="G28" i="155"/>
  <c r="G27" i="155"/>
  <c r="G26" i="155"/>
  <c r="G25" i="155"/>
  <c r="G24" i="155"/>
  <c r="G23" i="155"/>
  <c r="G22" i="155"/>
  <c r="G21" i="155"/>
  <c r="G20" i="155"/>
  <c r="G19" i="155"/>
  <c r="A45" i="155"/>
  <c r="J37" i="155"/>
  <c r="F37" i="155"/>
  <c r="J36" i="155"/>
  <c r="F36" i="155"/>
  <c r="J35" i="155"/>
  <c r="F35" i="155"/>
  <c r="J34" i="155"/>
  <c r="F34" i="155"/>
  <c r="H34" i="155" s="1"/>
  <c r="J33" i="155"/>
  <c r="F33" i="155"/>
  <c r="J32" i="155"/>
  <c r="F32" i="155"/>
  <c r="J31" i="155"/>
  <c r="F31" i="155"/>
  <c r="J30" i="155"/>
  <c r="F30" i="155"/>
  <c r="H30" i="155" s="1"/>
  <c r="J29" i="155"/>
  <c r="F29" i="155"/>
  <c r="J28" i="155"/>
  <c r="F28" i="155"/>
  <c r="J27" i="155"/>
  <c r="F27" i="155"/>
  <c r="J26" i="155"/>
  <c r="F26" i="155"/>
  <c r="H26" i="155" s="1"/>
  <c r="J25" i="155"/>
  <c r="F25" i="155"/>
  <c r="J24" i="155"/>
  <c r="F24" i="155"/>
  <c r="J23" i="155"/>
  <c r="F23" i="155"/>
  <c r="J22" i="155"/>
  <c r="F22" i="155"/>
  <c r="H22" i="155" s="1"/>
  <c r="J21" i="155"/>
  <c r="F21" i="155"/>
  <c r="J20" i="155"/>
  <c r="F20" i="155"/>
  <c r="J19" i="155"/>
  <c r="F19" i="155"/>
  <c r="I37" i="155"/>
  <c r="I36" i="155"/>
  <c r="I35" i="155"/>
  <c r="I34" i="155"/>
  <c r="I33" i="155"/>
  <c r="I32" i="155"/>
  <c r="I31" i="155"/>
  <c r="I30" i="155"/>
  <c r="I29" i="155"/>
  <c r="I28" i="155"/>
  <c r="I27" i="155"/>
  <c r="I26" i="155"/>
  <c r="I25" i="155"/>
  <c r="I24" i="155"/>
  <c r="I23" i="155"/>
  <c r="I22" i="155"/>
  <c r="I21" i="155"/>
  <c r="I20" i="155"/>
  <c r="I19" i="155"/>
  <c r="A45" i="153"/>
  <c r="J37" i="153"/>
  <c r="F37" i="153"/>
  <c r="H37" i="153" s="1"/>
  <c r="J36" i="153"/>
  <c r="F36" i="153"/>
  <c r="H36" i="153" s="1"/>
  <c r="I37" i="153"/>
  <c r="D16" i="153"/>
  <c r="I36" i="153"/>
  <c r="A48" i="154"/>
  <c r="G37" i="154"/>
  <c r="G36" i="154"/>
  <c r="G35" i="154"/>
  <c r="G34" i="154"/>
  <c r="G33" i="154"/>
  <c r="G32" i="154"/>
  <c r="G31" i="154"/>
  <c r="G30" i="154"/>
  <c r="G29" i="154"/>
  <c r="G28" i="154"/>
  <c r="G27" i="154"/>
  <c r="G26" i="154"/>
  <c r="G25" i="154"/>
  <c r="G24" i="154"/>
  <c r="G23" i="154"/>
  <c r="G22" i="154"/>
  <c r="G21" i="154"/>
  <c r="A45" i="154"/>
  <c r="J37" i="154"/>
  <c r="F37" i="154"/>
  <c r="J36" i="154"/>
  <c r="F36" i="154"/>
  <c r="H36" i="154" s="1"/>
  <c r="J35" i="154"/>
  <c r="F35" i="154"/>
  <c r="J34" i="154"/>
  <c r="F34" i="154"/>
  <c r="J33" i="154"/>
  <c r="F33" i="154"/>
  <c r="J32" i="154"/>
  <c r="F32" i="154"/>
  <c r="J31" i="154"/>
  <c r="F31" i="154"/>
  <c r="J30" i="154"/>
  <c r="F30" i="154"/>
  <c r="J29" i="154"/>
  <c r="F29" i="154"/>
  <c r="J28" i="154"/>
  <c r="F28" i="154"/>
  <c r="H28" i="154" s="1"/>
  <c r="J27" i="154"/>
  <c r="F27" i="154"/>
  <c r="J26" i="154"/>
  <c r="F26" i="154"/>
  <c r="J25" i="154"/>
  <c r="F25" i="154"/>
  <c r="J24" i="154"/>
  <c r="F24" i="154"/>
  <c r="H24" i="154" s="1"/>
  <c r="J23" i="154"/>
  <c r="F23" i="154"/>
  <c r="J22" i="154"/>
  <c r="F22" i="154"/>
  <c r="J21" i="154"/>
  <c r="F21" i="154"/>
  <c r="J20" i="154"/>
  <c r="F20" i="154"/>
  <c r="H20" i="154" s="1"/>
  <c r="J19" i="154"/>
  <c r="F19" i="154"/>
  <c r="H19" i="154" s="1"/>
  <c r="I37" i="154"/>
  <c r="I36" i="154"/>
  <c r="I35" i="154"/>
  <c r="I34" i="154"/>
  <c r="I33" i="154"/>
  <c r="I32" i="154"/>
  <c r="I31" i="154"/>
  <c r="I30" i="154"/>
  <c r="I29" i="154"/>
  <c r="I28" i="154"/>
  <c r="I27" i="154"/>
  <c r="I26" i="154"/>
  <c r="I25" i="154"/>
  <c r="I24" i="154"/>
  <c r="I23" i="154"/>
  <c r="I22" i="154"/>
  <c r="I21" i="154"/>
  <c r="I20" i="154"/>
  <c r="I19" i="154"/>
  <c r="A48" i="147"/>
  <c r="G37" i="147"/>
  <c r="A45" i="147"/>
  <c r="J37" i="147"/>
  <c r="F37" i="147"/>
  <c r="J36" i="147"/>
  <c r="F36" i="147"/>
  <c r="G35" i="147"/>
  <c r="G34" i="147"/>
  <c r="G33" i="147"/>
  <c r="G32" i="147"/>
  <c r="G31" i="147"/>
  <c r="G30" i="147"/>
  <c r="G29" i="147"/>
  <c r="G28" i="147"/>
  <c r="G27" i="147"/>
  <c r="G26" i="147"/>
  <c r="G25" i="147"/>
  <c r="G24" i="147"/>
  <c r="G23" i="147"/>
  <c r="G22" i="147"/>
  <c r="G21" i="147"/>
  <c r="G20" i="147"/>
  <c r="G19" i="147"/>
  <c r="I33" i="147"/>
  <c r="I32" i="147"/>
  <c r="I28" i="147"/>
  <c r="I27" i="147"/>
  <c r="I26" i="147"/>
  <c r="I22" i="147"/>
  <c r="I19" i="147"/>
  <c r="I37" i="147"/>
  <c r="G36" i="147"/>
  <c r="J35" i="147"/>
  <c r="F35" i="147"/>
  <c r="J34" i="147"/>
  <c r="F34" i="147"/>
  <c r="H34" i="147" s="1"/>
  <c r="J33" i="147"/>
  <c r="F33" i="147"/>
  <c r="J32" i="147"/>
  <c r="F32" i="147"/>
  <c r="J31" i="147"/>
  <c r="F31" i="147"/>
  <c r="J30" i="147"/>
  <c r="F30" i="147"/>
  <c r="H30" i="147" s="1"/>
  <c r="J29" i="147"/>
  <c r="F29" i="147"/>
  <c r="J28" i="147"/>
  <c r="F28" i="147"/>
  <c r="J27" i="147"/>
  <c r="F27" i="147"/>
  <c r="J26" i="147"/>
  <c r="F26" i="147"/>
  <c r="H26" i="147" s="1"/>
  <c r="J25" i="147"/>
  <c r="F25" i="147"/>
  <c r="J24" i="147"/>
  <c r="F24" i="147"/>
  <c r="J23" i="147"/>
  <c r="F23" i="147"/>
  <c r="J22" i="147"/>
  <c r="F22" i="147"/>
  <c r="H22" i="147" s="1"/>
  <c r="J21" i="147"/>
  <c r="F21" i="147"/>
  <c r="J20" i="147"/>
  <c r="F20" i="147"/>
  <c r="J19" i="147"/>
  <c r="F19" i="147"/>
  <c r="I35" i="147"/>
  <c r="I30" i="147"/>
  <c r="I29" i="147"/>
  <c r="I24" i="147"/>
  <c r="I23" i="147"/>
  <c r="I21" i="147"/>
  <c r="I34" i="147"/>
  <c r="I31" i="147"/>
  <c r="I25" i="147"/>
  <c r="I20" i="147"/>
  <c r="I36" i="147"/>
  <c r="D16" i="147"/>
  <c r="A48" i="149"/>
  <c r="G37" i="149"/>
  <c r="G36" i="149"/>
  <c r="G35" i="149"/>
  <c r="G34" i="149"/>
  <c r="G33" i="149"/>
  <c r="G32" i="149"/>
  <c r="G31" i="149"/>
  <c r="G30" i="149"/>
  <c r="G29" i="149"/>
  <c r="G28" i="149"/>
  <c r="G27" i="149"/>
  <c r="G26" i="149"/>
  <c r="G25" i="149"/>
  <c r="G24" i="149"/>
  <c r="G23" i="149"/>
  <c r="G22" i="149"/>
  <c r="G21" i="149"/>
  <c r="G20" i="149"/>
  <c r="G19" i="149"/>
  <c r="A45" i="149"/>
  <c r="J37" i="149"/>
  <c r="F37" i="149"/>
  <c r="J36" i="149"/>
  <c r="F36" i="149"/>
  <c r="J35" i="149"/>
  <c r="F35" i="149"/>
  <c r="J34" i="149"/>
  <c r="F34" i="149"/>
  <c r="H34" i="149" s="1"/>
  <c r="J33" i="149"/>
  <c r="F33" i="149"/>
  <c r="J32" i="149"/>
  <c r="F32" i="149"/>
  <c r="J31" i="149"/>
  <c r="F31" i="149"/>
  <c r="J30" i="149"/>
  <c r="F30" i="149"/>
  <c r="H30" i="149" s="1"/>
  <c r="J29" i="149"/>
  <c r="F29" i="149"/>
  <c r="J28" i="149"/>
  <c r="F28" i="149"/>
  <c r="J27" i="149"/>
  <c r="F27" i="149"/>
  <c r="J26" i="149"/>
  <c r="F26" i="149"/>
  <c r="H26" i="149" s="1"/>
  <c r="J25" i="149"/>
  <c r="F25" i="149"/>
  <c r="J24" i="149"/>
  <c r="F24" i="149"/>
  <c r="J23" i="149"/>
  <c r="F23" i="149"/>
  <c r="J22" i="149"/>
  <c r="F22" i="149"/>
  <c r="H22" i="149" s="1"/>
  <c r="J21" i="149"/>
  <c r="F21" i="149"/>
  <c r="J20" i="149"/>
  <c r="F20" i="149"/>
  <c r="J19" i="149"/>
  <c r="F19" i="149"/>
  <c r="I37" i="149"/>
  <c r="I36" i="149"/>
  <c r="I35" i="149"/>
  <c r="I34" i="149"/>
  <c r="I33" i="149"/>
  <c r="I32" i="149"/>
  <c r="I31" i="149"/>
  <c r="I30" i="149"/>
  <c r="I29" i="149"/>
  <c r="I28" i="149"/>
  <c r="I27" i="149"/>
  <c r="I26" i="149"/>
  <c r="I25" i="149"/>
  <c r="I24" i="149"/>
  <c r="I23" i="149"/>
  <c r="I22" i="149"/>
  <c r="I21" i="149"/>
  <c r="I20" i="149"/>
  <c r="I19" i="149"/>
  <c r="A48" i="148"/>
  <c r="G37" i="148"/>
  <c r="G36" i="148"/>
  <c r="G35" i="148"/>
  <c r="G34" i="148"/>
  <c r="G33" i="148"/>
  <c r="G32" i="148"/>
  <c r="G31" i="148"/>
  <c r="G30" i="148"/>
  <c r="G29" i="148"/>
  <c r="G28" i="148"/>
  <c r="G27" i="148"/>
  <c r="G26" i="148"/>
  <c r="G25" i="148"/>
  <c r="G24" i="148"/>
  <c r="G23" i="148"/>
  <c r="G22" i="148"/>
  <c r="G21" i="148"/>
  <c r="G20" i="148"/>
  <c r="G19" i="148"/>
  <c r="A45" i="148"/>
  <c r="J37" i="148"/>
  <c r="F37" i="148"/>
  <c r="J36" i="148"/>
  <c r="F36" i="148"/>
  <c r="J35" i="148"/>
  <c r="F35" i="148"/>
  <c r="J34" i="148"/>
  <c r="F34" i="148"/>
  <c r="H34" i="148" s="1"/>
  <c r="J33" i="148"/>
  <c r="F33" i="148"/>
  <c r="J32" i="148"/>
  <c r="F32" i="148"/>
  <c r="J31" i="148"/>
  <c r="F31" i="148"/>
  <c r="J30" i="148"/>
  <c r="F30" i="148"/>
  <c r="H30" i="148" s="1"/>
  <c r="J29" i="148"/>
  <c r="F29" i="148"/>
  <c r="J28" i="148"/>
  <c r="F28" i="148"/>
  <c r="J27" i="148"/>
  <c r="F27" i="148"/>
  <c r="J26" i="148"/>
  <c r="F26" i="148"/>
  <c r="H26" i="148" s="1"/>
  <c r="J25" i="148"/>
  <c r="F25" i="148"/>
  <c r="J24" i="148"/>
  <c r="F24" i="148"/>
  <c r="J23" i="148"/>
  <c r="F23" i="148"/>
  <c r="J22" i="148"/>
  <c r="F22" i="148"/>
  <c r="H22" i="148" s="1"/>
  <c r="J21" i="148"/>
  <c r="F21" i="148"/>
  <c r="J20" i="148"/>
  <c r="F20" i="148"/>
  <c r="J19" i="148"/>
  <c r="F19" i="148"/>
  <c r="I37" i="148"/>
  <c r="I36" i="148"/>
  <c r="I35" i="148"/>
  <c r="I34" i="148"/>
  <c r="I33" i="148"/>
  <c r="I32" i="148"/>
  <c r="I31" i="148"/>
  <c r="I30" i="148"/>
  <c r="I29" i="148"/>
  <c r="I28" i="148"/>
  <c r="I27" i="148"/>
  <c r="I26" i="148"/>
  <c r="I25" i="148"/>
  <c r="I24" i="148"/>
  <c r="I23" i="148"/>
  <c r="I22" i="148"/>
  <c r="I21" i="148"/>
  <c r="I20" i="148"/>
  <c r="I19" i="148"/>
  <c r="D16" i="146"/>
  <c r="I19" i="146"/>
  <c r="I20" i="146"/>
  <c r="I21" i="146"/>
  <c r="I22" i="146"/>
  <c r="I23" i="146"/>
  <c r="I24" i="146"/>
  <c r="I25" i="146"/>
  <c r="I26" i="146"/>
  <c r="I27" i="146"/>
  <c r="I28" i="146"/>
  <c r="I29" i="146"/>
  <c r="I30" i="146"/>
  <c r="I31" i="146"/>
  <c r="I32" i="146"/>
  <c r="I33" i="146"/>
  <c r="I34" i="146"/>
  <c r="I35" i="146"/>
  <c r="I36" i="146"/>
  <c r="I37" i="146"/>
  <c r="F19" i="146"/>
  <c r="J19" i="146"/>
  <c r="F20" i="146"/>
  <c r="J20" i="146"/>
  <c r="F21" i="146"/>
  <c r="J21" i="146"/>
  <c r="F22" i="146"/>
  <c r="J22" i="146"/>
  <c r="F23" i="146"/>
  <c r="J23" i="146"/>
  <c r="F24" i="146"/>
  <c r="J24" i="146"/>
  <c r="F25" i="146"/>
  <c r="J25" i="146"/>
  <c r="F26" i="146"/>
  <c r="J26" i="146"/>
  <c r="F27" i="146"/>
  <c r="J27" i="146"/>
  <c r="F28" i="146"/>
  <c r="J28" i="146"/>
  <c r="F29" i="146"/>
  <c r="J29" i="146"/>
  <c r="F30" i="146"/>
  <c r="J30" i="146"/>
  <c r="F31" i="146"/>
  <c r="J31" i="146"/>
  <c r="F32" i="146"/>
  <c r="J32" i="146"/>
  <c r="F33" i="146"/>
  <c r="J33" i="146"/>
  <c r="F34" i="146"/>
  <c r="J34" i="146"/>
  <c r="F35" i="146"/>
  <c r="J35" i="146"/>
  <c r="F36" i="146"/>
  <c r="J36" i="146"/>
  <c r="F37" i="146"/>
  <c r="J37" i="146"/>
  <c r="A45" i="146"/>
  <c r="G19" i="146"/>
  <c r="G20" i="146"/>
  <c r="G21" i="146"/>
  <c r="G22" i="146"/>
  <c r="G23" i="146"/>
  <c r="G24" i="146"/>
  <c r="G25" i="146"/>
  <c r="G26" i="146"/>
  <c r="G27" i="146"/>
  <c r="G28" i="146"/>
  <c r="G29" i="146"/>
  <c r="G30" i="146"/>
  <c r="G31" i="146"/>
  <c r="G32" i="146"/>
  <c r="G33" i="146"/>
  <c r="G34" i="146"/>
  <c r="G35" i="146"/>
  <c r="G36" i="146"/>
  <c r="G37" i="146"/>
  <c r="D16" i="145"/>
  <c r="I19" i="145"/>
  <c r="I20" i="145"/>
  <c r="I21" i="145"/>
  <c r="I22" i="145"/>
  <c r="I23" i="145"/>
  <c r="I24" i="145"/>
  <c r="I25" i="145"/>
  <c r="I26" i="145"/>
  <c r="I27" i="145"/>
  <c r="I28" i="145"/>
  <c r="I29" i="145"/>
  <c r="I30" i="145"/>
  <c r="I31" i="145"/>
  <c r="I32" i="145"/>
  <c r="I33" i="145"/>
  <c r="I34" i="145"/>
  <c r="I35" i="145"/>
  <c r="I36" i="145"/>
  <c r="I37" i="145"/>
  <c r="F19" i="145"/>
  <c r="J19" i="145"/>
  <c r="F20" i="145"/>
  <c r="J20" i="145"/>
  <c r="F21" i="145"/>
  <c r="J21" i="145"/>
  <c r="F22" i="145"/>
  <c r="J22" i="145"/>
  <c r="F23" i="145"/>
  <c r="J23" i="145"/>
  <c r="F24" i="145"/>
  <c r="J24" i="145"/>
  <c r="F25" i="145"/>
  <c r="J25" i="145"/>
  <c r="F26" i="145"/>
  <c r="J26" i="145"/>
  <c r="F27" i="145"/>
  <c r="J27" i="145"/>
  <c r="F28" i="145"/>
  <c r="J28" i="145"/>
  <c r="F29" i="145"/>
  <c r="J29" i="145"/>
  <c r="F30" i="145"/>
  <c r="J30" i="145"/>
  <c r="F31" i="145"/>
  <c r="J31" i="145"/>
  <c r="F32" i="145"/>
  <c r="J32" i="145"/>
  <c r="F33" i="145"/>
  <c r="J33" i="145"/>
  <c r="F34" i="145"/>
  <c r="J34" i="145"/>
  <c r="F35" i="145"/>
  <c r="J35" i="145"/>
  <c r="F36" i="145"/>
  <c r="J36" i="145"/>
  <c r="F37" i="145"/>
  <c r="J37" i="145"/>
  <c r="A45" i="145"/>
  <c r="G19" i="145"/>
  <c r="G20" i="145"/>
  <c r="G21" i="145"/>
  <c r="G22" i="145"/>
  <c r="G23" i="145"/>
  <c r="G24" i="145"/>
  <c r="G25" i="145"/>
  <c r="G26" i="145"/>
  <c r="G27" i="145"/>
  <c r="G28" i="145"/>
  <c r="G29" i="145"/>
  <c r="G30" i="145"/>
  <c r="G31" i="145"/>
  <c r="G32" i="145"/>
  <c r="G33" i="145"/>
  <c r="G34" i="145"/>
  <c r="G35" i="145"/>
  <c r="G36" i="145"/>
  <c r="G37" i="145"/>
  <c r="D16" i="12"/>
  <c r="L26" i="160" l="1"/>
  <c r="M26" i="160" s="1"/>
  <c r="K20" i="158"/>
  <c r="K28" i="159"/>
  <c r="K30" i="157"/>
  <c r="K21" i="160"/>
  <c r="L34" i="159"/>
  <c r="M34" i="159" s="1"/>
  <c r="H26" i="150"/>
  <c r="L22" i="156"/>
  <c r="M22" i="156" s="1"/>
  <c r="K30" i="156"/>
  <c r="K34" i="160"/>
  <c r="K32" i="158"/>
  <c r="K24" i="158"/>
  <c r="H32" i="154"/>
  <c r="K32" i="154" s="1"/>
  <c r="K23" i="160"/>
  <c r="K37" i="158"/>
  <c r="K29" i="160"/>
  <c r="K34" i="157"/>
  <c r="K31" i="160"/>
  <c r="K36" i="157"/>
  <c r="K37" i="160"/>
  <c r="K35" i="158"/>
  <c r="K28" i="157"/>
  <c r="L30" i="160"/>
  <c r="M30" i="160" s="1"/>
  <c r="H20" i="165"/>
  <c r="K20" i="165" s="1"/>
  <c r="H24" i="165"/>
  <c r="K24" i="165" s="1"/>
  <c r="H28" i="165"/>
  <c r="H32" i="165"/>
  <c r="L19" i="160"/>
  <c r="M19" i="160" s="1"/>
  <c r="K26" i="158"/>
  <c r="K28" i="156"/>
  <c r="K35" i="160"/>
  <c r="K33" i="158"/>
  <c r="K36" i="156"/>
  <c r="K25" i="160"/>
  <c r="L20" i="156"/>
  <c r="M20" i="156" s="1"/>
  <c r="H20" i="162"/>
  <c r="K20" i="162" s="1"/>
  <c r="H24" i="162"/>
  <c r="K24" i="162" s="1"/>
  <c r="H28" i="162"/>
  <c r="K28" i="162" s="1"/>
  <c r="H32" i="162"/>
  <c r="H36" i="162"/>
  <c r="K36" i="162" s="1"/>
  <c r="H19" i="165"/>
  <c r="L19" i="165" s="1"/>
  <c r="M19" i="165" s="1"/>
  <c r="K30" i="158"/>
  <c r="H27" i="164"/>
  <c r="K27" i="164" s="1"/>
  <c r="H31" i="164"/>
  <c r="K31" i="164" s="1"/>
  <c r="H35" i="164"/>
  <c r="K35" i="164" s="1"/>
  <c r="H22" i="163"/>
  <c r="K22" i="163" s="1"/>
  <c r="H26" i="163"/>
  <c r="K26" i="163" s="1"/>
  <c r="H30" i="163"/>
  <c r="K30" i="163" s="1"/>
  <c r="H34" i="163"/>
  <c r="K34" i="163" s="1"/>
  <c r="K22" i="160"/>
  <c r="K24" i="156"/>
  <c r="H21" i="162"/>
  <c r="L21" i="162" s="1"/>
  <c r="M21" i="162" s="1"/>
  <c r="H25" i="162"/>
  <c r="K25" i="162" s="1"/>
  <c r="H25" i="152"/>
  <c r="L25" i="152" s="1"/>
  <c r="M25" i="152" s="1"/>
  <c r="H21" i="150"/>
  <c r="H25" i="150"/>
  <c r="K25" i="150" s="1"/>
  <c r="H29" i="150"/>
  <c r="K29" i="150" s="1"/>
  <c r="H33" i="150"/>
  <c r="K33" i="150" s="1"/>
  <c r="H37" i="150"/>
  <c r="K32" i="156"/>
  <c r="H36" i="161"/>
  <c r="K36" i="161" s="1"/>
  <c r="H19" i="150"/>
  <c r="H23" i="150"/>
  <c r="H27" i="150"/>
  <c r="L27" i="150" s="1"/>
  <c r="M27" i="150" s="1"/>
  <c r="H31" i="150"/>
  <c r="L31" i="150" s="1"/>
  <c r="M31" i="150" s="1"/>
  <c r="H35" i="150"/>
  <c r="K27" i="160"/>
  <c r="K36" i="158"/>
  <c r="K33" i="160"/>
  <c r="H32" i="148"/>
  <c r="K32" i="148" s="1"/>
  <c r="H36" i="148"/>
  <c r="L36" i="148" s="1"/>
  <c r="M36" i="148" s="1"/>
  <c r="H28" i="149"/>
  <c r="K28" i="149" s="1"/>
  <c r="H32" i="149"/>
  <c r="K32" i="149" s="1"/>
  <c r="H36" i="149"/>
  <c r="L36" i="149" s="1"/>
  <c r="M36" i="149" s="1"/>
  <c r="H20" i="147"/>
  <c r="K20" i="147" s="1"/>
  <c r="H24" i="147"/>
  <c r="K24" i="147" s="1"/>
  <c r="H28" i="147"/>
  <c r="K28" i="147" s="1"/>
  <c r="H32" i="147"/>
  <c r="L32" i="147" s="1"/>
  <c r="M32" i="147" s="1"/>
  <c r="H22" i="154"/>
  <c r="K22" i="154" s="1"/>
  <c r="H26" i="154"/>
  <c r="K26" i="154" s="1"/>
  <c r="H30" i="154"/>
  <c r="L30" i="154" s="1"/>
  <c r="M30" i="154" s="1"/>
  <c r="H34" i="154"/>
  <c r="L34" i="154" s="1"/>
  <c r="M34" i="154" s="1"/>
  <c r="H20" i="148"/>
  <c r="K20" i="148" s="1"/>
  <c r="H24" i="148"/>
  <c r="L24" i="148" s="1"/>
  <c r="M24" i="148" s="1"/>
  <c r="H28" i="148"/>
  <c r="K28" i="148" s="1"/>
  <c r="H20" i="149"/>
  <c r="L20" i="149" s="1"/>
  <c r="M20" i="149" s="1"/>
  <c r="H24" i="149"/>
  <c r="K24" i="149" s="1"/>
  <c r="H19" i="155"/>
  <c r="K19" i="155" s="1"/>
  <c r="H21" i="155"/>
  <c r="K21" i="155" s="1"/>
  <c r="H23" i="155"/>
  <c r="K23" i="155" s="1"/>
  <c r="H25" i="155"/>
  <c r="K25" i="155" s="1"/>
  <c r="H27" i="155"/>
  <c r="K27" i="155" s="1"/>
  <c r="H29" i="155"/>
  <c r="K29" i="155" s="1"/>
  <c r="H31" i="155"/>
  <c r="K31" i="155" s="1"/>
  <c r="H33" i="155"/>
  <c r="K33" i="155" s="1"/>
  <c r="H35" i="155"/>
  <c r="L35" i="155" s="1"/>
  <c r="M35" i="155" s="1"/>
  <c r="H37" i="155"/>
  <c r="K37" i="155" s="1"/>
  <c r="H26" i="152"/>
  <c r="L26" i="152" s="1"/>
  <c r="M26" i="152" s="1"/>
  <c r="H30" i="152"/>
  <c r="H34" i="152"/>
  <c r="L34" i="152" s="1"/>
  <c r="M34" i="152" s="1"/>
  <c r="H20" i="150"/>
  <c r="K20" i="150" s="1"/>
  <c r="H24" i="150"/>
  <c r="K24" i="150" s="1"/>
  <c r="H28" i="150"/>
  <c r="H32" i="150"/>
  <c r="K32" i="150" s="1"/>
  <c r="H36" i="150"/>
  <c r="L36" i="150" s="1"/>
  <c r="M36" i="150" s="1"/>
  <c r="H37" i="146"/>
  <c r="K37" i="146" s="1"/>
  <c r="H33" i="146"/>
  <c r="K33" i="146" s="1"/>
  <c r="H21" i="148"/>
  <c r="K21" i="148" s="1"/>
  <c r="H25" i="148"/>
  <c r="K25" i="148" s="1"/>
  <c r="H29" i="148"/>
  <c r="H33" i="148"/>
  <c r="L33" i="148" s="1"/>
  <c r="M33" i="148" s="1"/>
  <c r="H37" i="148"/>
  <c r="K37" i="148" s="1"/>
  <c r="H21" i="149"/>
  <c r="K21" i="149" s="1"/>
  <c r="H25" i="149"/>
  <c r="H29" i="149"/>
  <c r="K29" i="149" s="1"/>
  <c r="H33" i="149"/>
  <c r="K33" i="149" s="1"/>
  <c r="H37" i="149"/>
  <c r="L37" i="149" s="1"/>
  <c r="M37" i="149" s="1"/>
  <c r="H21" i="147"/>
  <c r="H25" i="147"/>
  <c r="L25" i="147" s="1"/>
  <c r="M25" i="147" s="1"/>
  <c r="H29" i="147"/>
  <c r="K29" i="147" s="1"/>
  <c r="H33" i="147"/>
  <c r="K33" i="147" s="1"/>
  <c r="H23" i="154"/>
  <c r="H27" i="154"/>
  <c r="L27" i="154" s="1"/>
  <c r="M27" i="154" s="1"/>
  <c r="H31" i="154"/>
  <c r="K31" i="154" s="1"/>
  <c r="H35" i="154"/>
  <c r="K35" i="154" s="1"/>
  <c r="H19" i="164"/>
  <c r="L19" i="164" s="1"/>
  <c r="M19" i="164" s="1"/>
  <c r="H21" i="164"/>
  <c r="K21" i="164" s="1"/>
  <c r="H23" i="164"/>
  <c r="L23" i="164" s="1"/>
  <c r="M23" i="164" s="1"/>
  <c r="H36" i="165"/>
  <c r="L36" i="165" s="1"/>
  <c r="M36" i="165" s="1"/>
  <c r="H22" i="161"/>
  <c r="K22" i="161" s="1"/>
  <c r="H30" i="161"/>
  <c r="H37" i="147"/>
  <c r="K37" i="147" s="1"/>
  <c r="H29" i="162"/>
  <c r="K29" i="162" s="1"/>
  <c r="H33" i="162"/>
  <c r="K33" i="162" s="1"/>
  <c r="H37" i="162"/>
  <c r="L37" i="162" s="1"/>
  <c r="M37" i="162" s="1"/>
  <c r="K19" i="164"/>
  <c r="L27" i="164"/>
  <c r="M27" i="164" s="1"/>
  <c r="L26" i="163"/>
  <c r="M26" i="163" s="1"/>
  <c r="L29" i="159"/>
  <c r="M29" i="159" s="1"/>
  <c r="K29" i="159"/>
  <c r="L23" i="158"/>
  <c r="M23" i="158" s="1"/>
  <c r="K23" i="158"/>
  <c r="L27" i="157"/>
  <c r="M27" i="157" s="1"/>
  <c r="K27" i="157"/>
  <c r="L31" i="156"/>
  <c r="M31" i="156" s="1"/>
  <c r="K31" i="156"/>
  <c r="L23" i="156"/>
  <c r="M23" i="156" s="1"/>
  <c r="K23" i="156"/>
  <c r="K26" i="162"/>
  <c r="L26" i="162"/>
  <c r="M26" i="162" s="1"/>
  <c r="K30" i="162"/>
  <c r="L30" i="162"/>
  <c r="M30" i="162" s="1"/>
  <c r="K34" i="162"/>
  <c r="L34" i="162"/>
  <c r="M34" i="162" s="1"/>
  <c r="K22" i="165"/>
  <c r="L22" i="165"/>
  <c r="M22" i="165" s="1"/>
  <c r="K28" i="165"/>
  <c r="L28" i="165"/>
  <c r="M28" i="165" s="1"/>
  <c r="K32" i="165"/>
  <c r="L32" i="165"/>
  <c r="M32" i="165" s="1"/>
  <c r="L25" i="159"/>
  <c r="M25" i="159" s="1"/>
  <c r="K25" i="159"/>
  <c r="K20" i="161"/>
  <c r="L20" i="161"/>
  <c r="M20" i="161" s="1"/>
  <c r="K24" i="161"/>
  <c r="L24" i="161"/>
  <c r="M24" i="161" s="1"/>
  <c r="K28" i="161"/>
  <c r="L28" i="161"/>
  <c r="M28" i="161" s="1"/>
  <c r="K32" i="161"/>
  <c r="L32" i="161"/>
  <c r="M32" i="161" s="1"/>
  <c r="L20" i="164"/>
  <c r="M20" i="164" s="1"/>
  <c r="K20" i="164"/>
  <c r="L22" i="164"/>
  <c r="M22" i="164" s="1"/>
  <c r="K22" i="164"/>
  <c r="K24" i="164"/>
  <c r="L24" i="164"/>
  <c r="M24" i="164" s="1"/>
  <c r="H26" i="164"/>
  <c r="K28" i="164"/>
  <c r="L28" i="164"/>
  <c r="M28" i="164" s="1"/>
  <c r="H30" i="164"/>
  <c r="K32" i="164"/>
  <c r="L32" i="164"/>
  <c r="M32" i="164" s="1"/>
  <c r="H34" i="164"/>
  <c r="K36" i="164"/>
  <c r="L36" i="164"/>
  <c r="M36" i="164" s="1"/>
  <c r="H37" i="165"/>
  <c r="K19" i="163"/>
  <c r="L19" i="163"/>
  <c r="M19" i="163" s="1"/>
  <c r="H21" i="163"/>
  <c r="K23" i="163"/>
  <c r="L23" i="163"/>
  <c r="M23" i="163" s="1"/>
  <c r="H25" i="163"/>
  <c r="K27" i="163"/>
  <c r="L27" i="163"/>
  <c r="M27" i="163" s="1"/>
  <c r="H29" i="163"/>
  <c r="K31" i="163"/>
  <c r="L31" i="163"/>
  <c r="M31" i="163" s="1"/>
  <c r="H33" i="163"/>
  <c r="K35" i="163"/>
  <c r="L35" i="163"/>
  <c r="M35" i="163" s="1"/>
  <c r="H37" i="163"/>
  <c r="L32" i="160"/>
  <c r="M32" i="160" s="1"/>
  <c r="K32" i="160"/>
  <c r="L37" i="159"/>
  <c r="M37" i="159" s="1"/>
  <c r="K37" i="159"/>
  <c r="L21" i="159"/>
  <c r="M21" i="159" s="1"/>
  <c r="K21" i="159"/>
  <c r="L27" i="158"/>
  <c r="M27" i="158" s="1"/>
  <c r="K27" i="158"/>
  <c r="L19" i="158"/>
  <c r="M19" i="158" s="1"/>
  <c r="K19" i="158"/>
  <c r="L31" i="157"/>
  <c r="M31" i="157" s="1"/>
  <c r="K31" i="157"/>
  <c r="L23" i="157"/>
  <c r="M23" i="157" s="1"/>
  <c r="K23" i="157"/>
  <c r="L35" i="156"/>
  <c r="M35" i="156" s="1"/>
  <c r="K35" i="156"/>
  <c r="L27" i="156"/>
  <c r="M27" i="156" s="1"/>
  <c r="K27" i="156"/>
  <c r="L19" i="156"/>
  <c r="M19" i="156" s="1"/>
  <c r="K19" i="156"/>
  <c r="H19" i="162"/>
  <c r="K21" i="162"/>
  <c r="H23" i="162"/>
  <c r="H27" i="162"/>
  <c r="H31" i="162"/>
  <c r="H35" i="162"/>
  <c r="K37" i="162"/>
  <c r="K25" i="164"/>
  <c r="L25" i="164"/>
  <c r="M25" i="164" s="1"/>
  <c r="K29" i="164"/>
  <c r="L29" i="164"/>
  <c r="M29" i="164" s="1"/>
  <c r="K33" i="164"/>
  <c r="L33" i="164"/>
  <c r="M33" i="164" s="1"/>
  <c r="K37" i="164"/>
  <c r="L37" i="164"/>
  <c r="M37" i="164" s="1"/>
  <c r="K20" i="163"/>
  <c r="L20" i="163"/>
  <c r="M20" i="163" s="1"/>
  <c r="K24" i="163"/>
  <c r="L24" i="163"/>
  <c r="M24" i="163" s="1"/>
  <c r="K28" i="163"/>
  <c r="L28" i="163"/>
  <c r="M28" i="163" s="1"/>
  <c r="K32" i="163"/>
  <c r="L32" i="163"/>
  <c r="M32" i="163" s="1"/>
  <c r="K36" i="163"/>
  <c r="L36" i="163"/>
  <c r="M36" i="163" s="1"/>
  <c r="L24" i="160"/>
  <c r="M24" i="160" s="1"/>
  <c r="K24" i="160"/>
  <c r="L31" i="158"/>
  <c r="M31" i="158" s="1"/>
  <c r="K31" i="158"/>
  <c r="L35" i="157"/>
  <c r="M35" i="157" s="1"/>
  <c r="K35" i="157"/>
  <c r="L19" i="157"/>
  <c r="M19" i="157" s="1"/>
  <c r="K19" i="157"/>
  <c r="K22" i="162"/>
  <c r="L22" i="162"/>
  <c r="M22" i="162" s="1"/>
  <c r="L28" i="162"/>
  <c r="M28" i="162" s="1"/>
  <c r="K32" i="162"/>
  <c r="L32" i="162"/>
  <c r="M32" i="162" s="1"/>
  <c r="K26" i="165"/>
  <c r="L26" i="165"/>
  <c r="M26" i="165" s="1"/>
  <c r="K30" i="165"/>
  <c r="L30" i="165"/>
  <c r="M30" i="165" s="1"/>
  <c r="K34" i="165"/>
  <c r="L34" i="165"/>
  <c r="M34" i="165" s="1"/>
  <c r="L36" i="160"/>
  <c r="M36" i="160" s="1"/>
  <c r="K36" i="160"/>
  <c r="L20" i="160"/>
  <c r="M20" i="160" s="1"/>
  <c r="K20" i="160"/>
  <c r="L29" i="158"/>
  <c r="M29" i="158" s="1"/>
  <c r="K29" i="158"/>
  <c r="L21" i="158"/>
  <c r="M21" i="158" s="1"/>
  <c r="K21" i="158"/>
  <c r="L33" i="157"/>
  <c r="M33" i="157" s="1"/>
  <c r="K33" i="157"/>
  <c r="L25" i="157"/>
  <c r="M25" i="157" s="1"/>
  <c r="K25" i="157"/>
  <c r="L37" i="156"/>
  <c r="M37" i="156" s="1"/>
  <c r="K37" i="156"/>
  <c r="L29" i="156"/>
  <c r="M29" i="156" s="1"/>
  <c r="K29" i="156"/>
  <c r="L21" i="156"/>
  <c r="M21" i="156" s="1"/>
  <c r="K21" i="156"/>
  <c r="H26" i="161"/>
  <c r="K30" i="161"/>
  <c r="L30" i="161"/>
  <c r="M30" i="161" s="1"/>
  <c r="H34" i="161"/>
  <c r="H21" i="165"/>
  <c r="H23" i="165"/>
  <c r="H25" i="165"/>
  <c r="H27" i="165"/>
  <c r="H29" i="165"/>
  <c r="H31" i="165"/>
  <c r="H33" i="165"/>
  <c r="H35" i="165"/>
  <c r="L28" i="160"/>
  <c r="M28" i="160" s="1"/>
  <c r="K28" i="160"/>
  <c r="L33" i="159"/>
  <c r="M33" i="159" s="1"/>
  <c r="K33" i="159"/>
  <c r="L34" i="158"/>
  <c r="M34" i="158" s="1"/>
  <c r="K34" i="158"/>
  <c r="L25" i="158"/>
  <c r="M25" i="158" s="1"/>
  <c r="K25" i="158"/>
  <c r="L37" i="157"/>
  <c r="M37" i="157" s="1"/>
  <c r="K37" i="157"/>
  <c r="L29" i="157"/>
  <c r="M29" i="157" s="1"/>
  <c r="K29" i="157"/>
  <c r="L21" i="157"/>
  <c r="M21" i="157" s="1"/>
  <c r="K21" i="157"/>
  <c r="L33" i="156"/>
  <c r="M33" i="156" s="1"/>
  <c r="K33" i="156"/>
  <c r="L25" i="156"/>
  <c r="M25" i="156" s="1"/>
  <c r="K25" i="156"/>
  <c r="H19" i="161"/>
  <c r="H21" i="161"/>
  <c r="H23" i="161"/>
  <c r="H25" i="161"/>
  <c r="H27" i="161"/>
  <c r="H29" i="161"/>
  <c r="H31" i="161"/>
  <c r="H33" i="161"/>
  <c r="H35" i="161"/>
  <c r="K37" i="161"/>
  <c r="L37" i="161"/>
  <c r="M37" i="161" s="1"/>
  <c r="K35" i="155"/>
  <c r="L31" i="153"/>
  <c r="M31" i="153" s="1"/>
  <c r="K31" i="153"/>
  <c r="L25" i="153"/>
  <c r="M25" i="153" s="1"/>
  <c r="K25" i="153"/>
  <c r="L19" i="153"/>
  <c r="M19" i="153" s="1"/>
  <c r="K19" i="153"/>
  <c r="H28" i="152"/>
  <c r="H36" i="152"/>
  <c r="K26" i="150"/>
  <c r="L26" i="150"/>
  <c r="M26" i="150" s="1"/>
  <c r="L19" i="154"/>
  <c r="M19" i="154" s="1"/>
  <c r="K19" i="154"/>
  <c r="H21" i="154"/>
  <c r="K23" i="154"/>
  <c r="L23" i="154"/>
  <c r="M23" i="154" s="1"/>
  <c r="H25" i="154"/>
  <c r="H29" i="154"/>
  <c r="H33" i="154"/>
  <c r="H37" i="154"/>
  <c r="L24" i="152"/>
  <c r="M24" i="152" s="1"/>
  <c r="K24" i="152"/>
  <c r="H22" i="152"/>
  <c r="H20" i="152"/>
  <c r="H36" i="151"/>
  <c r="H34" i="151"/>
  <c r="H32" i="151"/>
  <c r="H30" i="151"/>
  <c r="H28" i="151"/>
  <c r="H26" i="151"/>
  <c r="H24" i="151"/>
  <c r="H22" i="151"/>
  <c r="H20" i="151"/>
  <c r="L33" i="153"/>
  <c r="M33" i="153" s="1"/>
  <c r="K33" i="153"/>
  <c r="L27" i="153"/>
  <c r="M27" i="153" s="1"/>
  <c r="K27" i="153"/>
  <c r="L23" i="153"/>
  <c r="M23" i="153" s="1"/>
  <c r="K23" i="153"/>
  <c r="L30" i="152"/>
  <c r="M30" i="152" s="1"/>
  <c r="K30" i="152"/>
  <c r="K30" i="150"/>
  <c r="L30" i="150"/>
  <c r="M30" i="150" s="1"/>
  <c r="L36" i="153"/>
  <c r="M36" i="153" s="1"/>
  <c r="K36" i="153"/>
  <c r="H20" i="155"/>
  <c r="K22" i="155"/>
  <c r="L22" i="155"/>
  <c r="M22" i="155" s="1"/>
  <c r="H24" i="155"/>
  <c r="K26" i="155"/>
  <c r="L26" i="155"/>
  <c r="M26" i="155" s="1"/>
  <c r="H28" i="155"/>
  <c r="K30" i="155"/>
  <c r="L30" i="155"/>
  <c r="M30" i="155" s="1"/>
  <c r="H32" i="155"/>
  <c r="K34" i="155"/>
  <c r="L34" i="155"/>
  <c r="M34" i="155" s="1"/>
  <c r="H36" i="155"/>
  <c r="L34" i="153"/>
  <c r="M34" i="153" s="1"/>
  <c r="K34" i="153"/>
  <c r="L32" i="153"/>
  <c r="M32" i="153" s="1"/>
  <c r="K32" i="153"/>
  <c r="L30" i="153"/>
  <c r="M30" i="153" s="1"/>
  <c r="K30" i="153"/>
  <c r="L28" i="153"/>
  <c r="M28" i="153" s="1"/>
  <c r="K28" i="153"/>
  <c r="L26" i="153"/>
  <c r="M26" i="153" s="1"/>
  <c r="K26" i="153"/>
  <c r="L24" i="153"/>
  <c r="M24" i="153" s="1"/>
  <c r="K24" i="153"/>
  <c r="L22" i="153"/>
  <c r="M22" i="153" s="1"/>
  <c r="K22" i="153"/>
  <c r="L20" i="153"/>
  <c r="M20" i="153" s="1"/>
  <c r="K20" i="153"/>
  <c r="K25" i="152"/>
  <c r="H27" i="152"/>
  <c r="H29" i="152"/>
  <c r="H31" i="152"/>
  <c r="H33" i="152"/>
  <c r="H35" i="152"/>
  <c r="H37" i="152"/>
  <c r="K19" i="150"/>
  <c r="L19" i="150"/>
  <c r="M19" i="150" s="1"/>
  <c r="K21" i="150"/>
  <c r="L21" i="150"/>
  <c r="M21" i="150" s="1"/>
  <c r="K23" i="150"/>
  <c r="L23" i="150"/>
  <c r="M23" i="150" s="1"/>
  <c r="L33" i="150"/>
  <c r="M33" i="150" s="1"/>
  <c r="L35" i="150"/>
  <c r="M35" i="150" s="1"/>
  <c r="K35" i="150"/>
  <c r="L37" i="150"/>
  <c r="M37" i="150" s="1"/>
  <c r="K37" i="150"/>
  <c r="L37" i="153"/>
  <c r="M37" i="153" s="1"/>
  <c r="K37" i="153"/>
  <c r="L19" i="155"/>
  <c r="M19" i="155" s="1"/>
  <c r="L35" i="153"/>
  <c r="M35" i="153" s="1"/>
  <c r="K35" i="153"/>
  <c r="L29" i="153"/>
  <c r="M29" i="153" s="1"/>
  <c r="K29" i="153"/>
  <c r="L21" i="153"/>
  <c r="M21" i="153" s="1"/>
  <c r="K21" i="153"/>
  <c r="H32" i="152"/>
  <c r="K22" i="150"/>
  <c r="L22" i="150"/>
  <c r="M22" i="150" s="1"/>
  <c r="K28" i="150"/>
  <c r="L28" i="150"/>
  <c r="M28" i="150" s="1"/>
  <c r="L34" i="150"/>
  <c r="M34" i="150" s="1"/>
  <c r="K34" i="150"/>
  <c r="K20" i="154"/>
  <c r="L20" i="154"/>
  <c r="M20" i="154" s="1"/>
  <c r="K24" i="154"/>
  <c r="L24" i="154"/>
  <c r="M24" i="154" s="1"/>
  <c r="K28" i="154"/>
  <c r="L28" i="154"/>
  <c r="M28" i="154" s="1"/>
  <c r="K30" i="154"/>
  <c r="K36" i="154"/>
  <c r="L36" i="154"/>
  <c r="M36" i="154" s="1"/>
  <c r="H23" i="152"/>
  <c r="H21" i="152"/>
  <c r="H19" i="152"/>
  <c r="H37" i="151"/>
  <c r="H35" i="151"/>
  <c r="H33" i="151"/>
  <c r="H31" i="151"/>
  <c r="H29" i="151"/>
  <c r="H27" i="151"/>
  <c r="H25" i="151"/>
  <c r="H23" i="151"/>
  <c r="H21" i="151"/>
  <c r="H19" i="151"/>
  <c r="H19" i="148"/>
  <c r="H23" i="148"/>
  <c r="H27" i="148"/>
  <c r="K29" i="148"/>
  <c r="L29" i="148"/>
  <c r="M29" i="148" s="1"/>
  <c r="H31" i="148"/>
  <c r="H35" i="148"/>
  <c r="H19" i="149"/>
  <c r="L21" i="149"/>
  <c r="M21" i="149" s="1"/>
  <c r="H23" i="149"/>
  <c r="K25" i="149"/>
  <c r="L25" i="149"/>
  <c r="M25" i="149" s="1"/>
  <c r="H27" i="149"/>
  <c r="H31" i="149"/>
  <c r="H35" i="149"/>
  <c r="K37" i="149"/>
  <c r="H19" i="147"/>
  <c r="K21" i="147"/>
  <c r="L21" i="147"/>
  <c r="M21" i="147" s="1"/>
  <c r="H23" i="147"/>
  <c r="H27" i="147"/>
  <c r="H31" i="147"/>
  <c r="H35" i="147"/>
  <c r="H36" i="147"/>
  <c r="K22" i="148"/>
  <c r="L22" i="148"/>
  <c r="M22" i="148" s="1"/>
  <c r="K24" i="148"/>
  <c r="K26" i="148"/>
  <c r="L26" i="148"/>
  <c r="M26" i="148" s="1"/>
  <c r="K30" i="148"/>
  <c r="L30" i="148"/>
  <c r="M30" i="148" s="1"/>
  <c r="K34" i="148"/>
  <c r="L34" i="148"/>
  <c r="M34" i="148" s="1"/>
  <c r="K20" i="149"/>
  <c r="K22" i="149"/>
  <c r="L22" i="149"/>
  <c r="M22" i="149" s="1"/>
  <c r="L24" i="149"/>
  <c r="M24" i="149" s="1"/>
  <c r="K26" i="149"/>
  <c r="L26" i="149"/>
  <c r="M26" i="149" s="1"/>
  <c r="K30" i="149"/>
  <c r="L30" i="149"/>
  <c r="M30" i="149" s="1"/>
  <c r="K34" i="149"/>
  <c r="L34" i="149"/>
  <c r="M34" i="149" s="1"/>
  <c r="K22" i="147"/>
  <c r="L22" i="147"/>
  <c r="M22" i="147" s="1"/>
  <c r="K26" i="147"/>
  <c r="L26" i="147"/>
  <c r="M26" i="147" s="1"/>
  <c r="K30" i="147"/>
  <c r="L30" i="147"/>
  <c r="M30" i="147" s="1"/>
  <c r="K32" i="147"/>
  <c r="K34" i="147"/>
  <c r="L34" i="147"/>
  <c r="M34" i="147" s="1"/>
  <c r="L37" i="147"/>
  <c r="M37" i="147" s="1"/>
  <c r="H35" i="146"/>
  <c r="H31" i="146"/>
  <c r="H29" i="146"/>
  <c r="H27" i="146"/>
  <c r="H25" i="146"/>
  <c r="H23" i="146"/>
  <c r="H21" i="146"/>
  <c r="H19" i="146"/>
  <c r="H36" i="146"/>
  <c r="H34" i="146"/>
  <c r="H32" i="146"/>
  <c r="H30" i="146"/>
  <c r="H28" i="146"/>
  <c r="H26" i="146"/>
  <c r="H24" i="146"/>
  <c r="H22" i="146"/>
  <c r="H20" i="146"/>
  <c r="H37" i="145"/>
  <c r="H35" i="145"/>
  <c r="H33" i="145"/>
  <c r="H31" i="145"/>
  <c r="H29" i="145"/>
  <c r="H27" i="145"/>
  <c r="H25" i="145"/>
  <c r="H23" i="145"/>
  <c r="H21" i="145"/>
  <c r="H19" i="145"/>
  <c r="H36" i="145"/>
  <c r="H34" i="145"/>
  <c r="H32" i="145"/>
  <c r="H30" i="145"/>
  <c r="H28" i="145"/>
  <c r="H26" i="145"/>
  <c r="H24" i="145"/>
  <c r="H22" i="145"/>
  <c r="H20" i="145"/>
  <c r="AO36" i="95"/>
  <c r="AP36" i="95" s="1"/>
  <c r="AO35" i="95"/>
  <c r="AP35" i="95" s="1"/>
  <c r="AO34" i="95"/>
  <c r="AP34" i="95" s="1"/>
  <c r="AO33" i="95"/>
  <c r="AP33" i="95" s="1"/>
  <c r="AO32" i="95"/>
  <c r="AP32" i="95" s="1"/>
  <c r="AO31" i="95"/>
  <c r="AP31" i="95" s="1"/>
  <c r="AO30" i="95"/>
  <c r="AP30" i="95" s="1"/>
  <c r="B30" i="95"/>
  <c r="AO29" i="95"/>
  <c r="AP29" i="95" s="1"/>
  <c r="B29" i="95"/>
  <c r="AO28" i="95"/>
  <c r="AP28" i="95" s="1"/>
  <c r="B28" i="95"/>
  <c r="AO27" i="95"/>
  <c r="AP27" i="95" s="1"/>
  <c r="B27" i="95"/>
  <c r="AO26" i="95"/>
  <c r="AP26" i="95" s="1"/>
  <c r="B26" i="95"/>
  <c r="AO25" i="95"/>
  <c r="AP25" i="95" s="1"/>
  <c r="B25" i="95"/>
  <c r="AO24" i="95"/>
  <c r="AP24" i="95" s="1"/>
  <c r="B24" i="95"/>
  <c r="AO23" i="95"/>
  <c r="AP23" i="95" s="1"/>
  <c r="B23" i="95"/>
  <c r="AO22" i="95"/>
  <c r="AP22" i="95" s="1"/>
  <c r="B22" i="95"/>
  <c r="AO21" i="95"/>
  <c r="AP21" i="95" s="1"/>
  <c r="B21" i="95"/>
  <c r="AO20" i="95"/>
  <c r="AP20" i="95" s="1"/>
  <c r="B20" i="95"/>
  <c r="AO19" i="95"/>
  <c r="AP19" i="95" s="1"/>
  <c r="B19" i="95"/>
  <c r="AO18" i="95"/>
  <c r="AP18" i="95" s="1"/>
  <c r="B18" i="95"/>
  <c r="AO17" i="95"/>
  <c r="AP17" i="95" s="1"/>
  <c r="B17" i="95"/>
  <c r="AO16" i="95"/>
  <c r="AP16" i="95" s="1"/>
  <c r="B16" i="95"/>
  <c r="AO15" i="95"/>
  <c r="AP15" i="95" s="1"/>
  <c r="B15" i="95"/>
  <c r="AO14" i="95"/>
  <c r="AP14" i="95" s="1"/>
  <c r="B14" i="95"/>
  <c r="AO13" i="95"/>
  <c r="AP13" i="95" s="1"/>
  <c r="B13" i="95"/>
  <c r="AO12" i="95"/>
  <c r="AP12" i="95" s="1"/>
  <c r="B12" i="95"/>
  <c r="AO11" i="95"/>
  <c r="AP11" i="95" s="1"/>
  <c r="B11" i="95"/>
  <c r="AO10" i="95"/>
  <c r="AP10" i="95" s="1"/>
  <c r="B10" i="95"/>
  <c r="AO9" i="95"/>
  <c r="AP9" i="95" s="1"/>
  <c r="B9" i="95"/>
  <c r="L28" i="149" l="1"/>
  <c r="M28" i="149" s="1"/>
  <c r="L26" i="154"/>
  <c r="M26" i="154" s="1"/>
  <c r="L25" i="150"/>
  <c r="M25" i="150" s="1"/>
  <c r="L27" i="155"/>
  <c r="M27" i="155" s="1"/>
  <c r="L36" i="162"/>
  <c r="M36" i="162" s="1"/>
  <c r="L20" i="162"/>
  <c r="M20" i="162" s="1"/>
  <c r="L30" i="163"/>
  <c r="M30" i="163" s="1"/>
  <c r="L24" i="147"/>
  <c r="M24" i="147" s="1"/>
  <c r="L21" i="148"/>
  <c r="M21" i="148" s="1"/>
  <c r="L29" i="147"/>
  <c r="M29" i="147" s="1"/>
  <c r="L33" i="149"/>
  <c r="M33" i="149" s="1"/>
  <c r="L37" i="148"/>
  <c r="M37" i="148" s="1"/>
  <c r="L20" i="165"/>
  <c r="M20" i="165" s="1"/>
  <c r="L28" i="147"/>
  <c r="M28" i="147" s="1"/>
  <c r="L32" i="154"/>
  <c r="M32" i="154" s="1"/>
  <c r="L20" i="150"/>
  <c r="M20" i="150" s="1"/>
  <c r="L35" i="154"/>
  <c r="M35" i="154" s="1"/>
  <c r="K36" i="165"/>
  <c r="L25" i="148"/>
  <c r="M25" i="148" s="1"/>
  <c r="K36" i="150"/>
  <c r="L24" i="165"/>
  <c r="M24" i="165" s="1"/>
  <c r="L25" i="162"/>
  <c r="M25" i="162" s="1"/>
  <c r="L34" i="163"/>
  <c r="M34" i="163" s="1"/>
  <c r="L35" i="164"/>
  <c r="M35" i="164" s="1"/>
  <c r="L32" i="149"/>
  <c r="M32" i="149" s="1"/>
  <c r="L33" i="147"/>
  <c r="M33" i="147" s="1"/>
  <c r="L29" i="155"/>
  <c r="M29" i="155" s="1"/>
  <c r="K31" i="150"/>
  <c r="K19" i="165"/>
  <c r="L31" i="164"/>
  <c r="M31" i="164" s="1"/>
  <c r="L24" i="162"/>
  <c r="M24" i="162" s="1"/>
  <c r="L22" i="161"/>
  <c r="M22" i="161" s="1"/>
  <c r="L33" i="155"/>
  <c r="M33" i="155" s="1"/>
  <c r="L25" i="155"/>
  <c r="M25" i="155" s="1"/>
  <c r="K26" i="152"/>
  <c r="L24" i="150"/>
  <c r="M24" i="150" s="1"/>
  <c r="K27" i="150"/>
  <c r="K36" i="149"/>
  <c r="L20" i="148"/>
  <c r="M20" i="148" s="1"/>
  <c r="L37" i="146"/>
  <c r="M37" i="146" s="1"/>
  <c r="K34" i="154"/>
  <c r="K25" i="147"/>
  <c r="L21" i="164"/>
  <c r="M21" i="164" s="1"/>
  <c r="L29" i="150"/>
  <c r="M29" i="150" s="1"/>
  <c r="L29" i="162"/>
  <c r="M29" i="162" s="1"/>
  <c r="K34" i="152"/>
  <c r="L21" i="155"/>
  <c r="M21" i="155" s="1"/>
  <c r="L33" i="146"/>
  <c r="M33" i="146" s="1"/>
  <c r="L32" i="148"/>
  <c r="M32" i="148" s="1"/>
  <c r="L28" i="148"/>
  <c r="M28" i="148" s="1"/>
  <c r="L29" i="149"/>
  <c r="M29" i="149" s="1"/>
  <c r="K33" i="148"/>
  <c r="L37" i="155"/>
  <c r="M37" i="155" s="1"/>
  <c r="K27" i="154"/>
  <c r="L32" i="150"/>
  <c r="M32" i="150" s="1"/>
  <c r="L36" i="161"/>
  <c r="M36" i="161" s="1"/>
  <c r="L22" i="163"/>
  <c r="M22" i="163" s="1"/>
  <c r="L20" i="147"/>
  <c r="M20" i="147" s="1"/>
  <c r="L31" i="155"/>
  <c r="M31" i="155" s="1"/>
  <c r="L31" i="154"/>
  <c r="M31" i="154" s="1"/>
  <c r="K36" i="148"/>
  <c r="L22" i="154"/>
  <c r="M22" i="154" s="1"/>
  <c r="L23" i="155"/>
  <c r="M23" i="155" s="1"/>
  <c r="L33" i="162"/>
  <c r="M33" i="162" s="1"/>
  <c r="K23" i="164"/>
  <c r="L35" i="161"/>
  <c r="M35" i="161" s="1"/>
  <c r="K35" i="161"/>
  <c r="L27" i="161"/>
  <c r="M27" i="161" s="1"/>
  <c r="K27" i="161"/>
  <c r="L19" i="161"/>
  <c r="M19" i="161" s="1"/>
  <c r="K19" i="161"/>
  <c r="K33" i="165"/>
  <c r="L33" i="165"/>
  <c r="M33" i="165" s="1"/>
  <c r="K25" i="165"/>
  <c r="L25" i="165"/>
  <c r="M25" i="165" s="1"/>
  <c r="K23" i="162"/>
  <c r="L23" i="162"/>
  <c r="M23" i="162" s="1"/>
  <c r="L37" i="163"/>
  <c r="M37" i="163" s="1"/>
  <c r="K37" i="163"/>
  <c r="K31" i="165"/>
  <c r="L31" i="165"/>
  <c r="M31" i="165" s="1"/>
  <c r="K25" i="163"/>
  <c r="L25" i="163"/>
  <c r="M25" i="163" s="1"/>
  <c r="L31" i="161"/>
  <c r="M31" i="161" s="1"/>
  <c r="K31" i="161"/>
  <c r="L23" i="161"/>
  <c r="M23" i="161" s="1"/>
  <c r="K23" i="161"/>
  <c r="K29" i="165"/>
  <c r="L29" i="165"/>
  <c r="M29" i="165" s="1"/>
  <c r="K21" i="165"/>
  <c r="L21" i="165"/>
  <c r="M21" i="165" s="1"/>
  <c r="K26" i="161"/>
  <c r="L26" i="161"/>
  <c r="M26" i="161" s="1"/>
  <c r="K31" i="162"/>
  <c r="L31" i="162"/>
  <c r="M31" i="162" s="1"/>
  <c r="K29" i="163"/>
  <c r="L29" i="163"/>
  <c r="M29" i="163" s="1"/>
  <c r="K34" i="164"/>
  <c r="L34" i="164"/>
  <c r="M34" i="164" s="1"/>
  <c r="K21" i="163"/>
  <c r="L21" i="163"/>
  <c r="M21" i="163" s="1"/>
  <c r="K26" i="164"/>
  <c r="L26" i="164"/>
  <c r="M26" i="164" s="1"/>
  <c r="L33" i="161"/>
  <c r="M33" i="161" s="1"/>
  <c r="K33" i="161"/>
  <c r="L25" i="161"/>
  <c r="M25" i="161" s="1"/>
  <c r="K25" i="161"/>
  <c r="K23" i="165"/>
  <c r="L23" i="165"/>
  <c r="M23" i="165" s="1"/>
  <c r="K27" i="162"/>
  <c r="L27" i="162"/>
  <c r="M27" i="162" s="1"/>
  <c r="K30" i="164"/>
  <c r="L30" i="164"/>
  <c r="M30" i="164" s="1"/>
  <c r="L29" i="161"/>
  <c r="M29" i="161" s="1"/>
  <c r="K29" i="161"/>
  <c r="L21" i="161"/>
  <c r="M21" i="161" s="1"/>
  <c r="K21" i="161"/>
  <c r="K35" i="165"/>
  <c r="L35" i="165"/>
  <c r="M35" i="165" s="1"/>
  <c r="K27" i="165"/>
  <c r="L27" i="165"/>
  <c r="M27" i="165" s="1"/>
  <c r="K34" i="161"/>
  <c r="L34" i="161"/>
  <c r="M34" i="161" s="1"/>
  <c r="K35" i="162"/>
  <c r="L35" i="162"/>
  <c r="M35" i="162" s="1"/>
  <c r="K19" i="162"/>
  <c r="L19" i="162"/>
  <c r="M19" i="162" s="1"/>
  <c r="K33" i="163"/>
  <c r="L33" i="163"/>
  <c r="M33" i="163" s="1"/>
  <c r="K37" i="165"/>
  <c r="L37" i="165"/>
  <c r="M37" i="165" s="1"/>
  <c r="L21" i="151"/>
  <c r="M21" i="151" s="1"/>
  <c r="K21" i="151"/>
  <c r="L29" i="151"/>
  <c r="M29" i="151" s="1"/>
  <c r="K29" i="151"/>
  <c r="L37" i="151"/>
  <c r="M37" i="151" s="1"/>
  <c r="K37" i="151"/>
  <c r="L32" i="152"/>
  <c r="M32" i="152" s="1"/>
  <c r="K32" i="152"/>
  <c r="L20" i="151"/>
  <c r="M20" i="151" s="1"/>
  <c r="K20" i="151"/>
  <c r="L28" i="151"/>
  <c r="M28" i="151" s="1"/>
  <c r="K28" i="151"/>
  <c r="L36" i="151"/>
  <c r="M36" i="151" s="1"/>
  <c r="K36" i="151"/>
  <c r="K33" i="154"/>
  <c r="L33" i="154"/>
  <c r="M33" i="154" s="1"/>
  <c r="L23" i="151"/>
  <c r="M23" i="151" s="1"/>
  <c r="K23" i="151"/>
  <c r="L31" i="151"/>
  <c r="M31" i="151" s="1"/>
  <c r="K31" i="151"/>
  <c r="L19" i="152"/>
  <c r="M19" i="152" s="1"/>
  <c r="K19" i="152"/>
  <c r="L37" i="152"/>
  <c r="M37" i="152" s="1"/>
  <c r="K37" i="152"/>
  <c r="L29" i="152"/>
  <c r="M29" i="152" s="1"/>
  <c r="K29" i="152"/>
  <c r="K36" i="155"/>
  <c r="L36" i="155"/>
  <c r="M36" i="155" s="1"/>
  <c r="K20" i="155"/>
  <c r="L20" i="155"/>
  <c r="M20" i="155" s="1"/>
  <c r="L22" i="151"/>
  <c r="M22" i="151" s="1"/>
  <c r="K22" i="151"/>
  <c r="L30" i="151"/>
  <c r="M30" i="151" s="1"/>
  <c r="K30" i="151"/>
  <c r="L20" i="152"/>
  <c r="M20" i="152" s="1"/>
  <c r="K20" i="152"/>
  <c r="K37" i="154"/>
  <c r="L37" i="154"/>
  <c r="M37" i="154" s="1"/>
  <c r="K21" i="154"/>
  <c r="L21" i="154"/>
  <c r="M21" i="154" s="1"/>
  <c r="K32" i="155"/>
  <c r="L32" i="155"/>
  <c r="M32" i="155" s="1"/>
  <c r="L25" i="151"/>
  <c r="M25" i="151" s="1"/>
  <c r="K25" i="151"/>
  <c r="L33" i="151"/>
  <c r="M33" i="151" s="1"/>
  <c r="K33" i="151"/>
  <c r="L21" i="152"/>
  <c r="M21" i="152" s="1"/>
  <c r="K21" i="152"/>
  <c r="L35" i="152"/>
  <c r="M35" i="152" s="1"/>
  <c r="K35" i="152"/>
  <c r="L27" i="152"/>
  <c r="M27" i="152" s="1"/>
  <c r="K27" i="152"/>
  <c r="K24" i="155"/>
  <c r="L24" i="155"/>
  <c r="M24" i="155" s="1"/>
  <c r="L24" i="151"/>
  <c r="M24" i="151" s="1"/>
  <c r="K24" i="151"/>
  <c r="L32" i="151"/>
  <c r="M32" i="151" s="1"/>
  <c r="K32" i="151"/>
  <c r="L22" i="152"/>
  <c r="M22" i="152" s="1"/>
  <c r="K22" i="152"/>
  <c r="K25" i="154"/>
  <c r="L25" i="154"/>
  <c r="M25" i="154" s="1"/>
  <c r="L36" i="152"/>
  <c r="M36" i="152" s="1"/>
  <c r="K36" i="152"/>
  <c r="L31" i="152"/>
  <c r="M31" i="152" s="1"/>
  <c r="K31" i="152"/>
  <c r="L19" i="151"/>
  <c r="M19" i="151" s="1"/>
  <c r="K19" i="151"/>
  <c r="L27" i="151"/>
  <c r="M27" i="151" s="1"/>
  <c r="K27" i="151"/>
  <c r="L35" i="151"/>
  <c r="M35" i="151" s="1"/>
  <c r="K35" i="151"/>
  <c r="L23" i="152"/>
  <c r="M23" i="152" s="1"/>
  <c r="K23" i="152"/>
  <c r="L33" i="152"/>
  <c r="M33" i="152" s="1"/>
  <c r="K33" i="152"/>
  <c r="K28" i="155"/>
  <c r="L28" i="155"/>
  <c r="M28" i="155" s="1"/>
  <c r="L26" i="151"/>
  <c r="M26" i="151" s="1"/>
  <c r="K26" i="151"/>
  <c r="L34" i="151"/>
  <c r="M34" i="151" s="1"/>
  <c r="K34" i="151"/>
  <c r="K29" i="154"/>
  <c r="L29" i="154"/>
  <c r="M29" i="154" s="1"/>
  <c r="L28" i="152"/>
  <c r="M28" i="152" s="1"/>
  <c r="K28" i="152"/>
  <c r="K36" i="147"/>
  <c r="L36" i="147"/>
  <c r="M36" i="147" s="1"/>
  <c r="K35" i="149"/>
  <c r="L35" i="149"/>
  <c r="M35" i="149" s="1"/>
  <c r="K19" i="149"/>
  <c r="L19" i="149"/>
  <c r="M19" i="149" s="1"/>
  <c r="K23" i="148"/>
  <c r="L23" i="148"/>
  <c r="M23" i="148" s="1"/>
  <c r="K35" i="147"/>
  <c r="L35" i="147"/>
  <c r="M35" i="147" s="1"/>
  <c r="K19" i="147"/>
  <c r="L19" i="147"/>
  <c r="M19" i="147" s="1"/>
  <c r="K23" i="149"/>
  <c r="L23" i="149"/>
  <c r="M23" i="149" s="1"/>
  <c r="K27" i="148"/>
  <c r="L27" i="148"/>
  <c r="M27" i="148" s="1"/>
  <c r="K31" i="147"/>
  <c r="L31" i="147"/>
  <c r="M31" i="147" s="1"/>
  <c r="K23" i="147"/>
  <c r="L23" i="147"/>
  <c r="M23" i="147" s="1"/>
  <c r="K27" i="149"/>
  <c r="L27" i="149"/>
  <c r="M27" i="149" s="1"/>
  <c r="K31" i="148"/>
  <c r="L31" i="148"/>
  <c r="M31" i="148" s="1"/>
  <c r="K27" i="147"/>
  <c r="L27" i="147"/>
  <c r="M27" i="147" s="1"/>
  <c r="K31" i="149"/>
  <c r="L31" i="149"/>
  <c r="M31" i="149" s="1"/>
  <c r="K35" i="148"/>
  <c r="L35" i="148"/>
  <c r="M35" i="148" s="1"/>
  <c r="K19" i="148"/>
  <c r="L19" i="148"/>
  <c r="M19" i="148" s="1"/>
  <c r="K22" i="146"/>
  <c r="L22" i="146"/>
  <c r="M22" i="146" s="1"/>
  <c r="K30" i="146"/>
  <c r="L30" i="146"/>
  <c r="M30" i="146" s="1"/>
  <c r="K19" i="146"/>
  <c r="L19" i="146"/>
  <c r="M19" i="146" s="1"/>
  <c r="K27" i="146"/>
  <c r="L27" i="146"/>
  <c r="M27" i="146" s="1"/>
  <c r="K24" i="146"/>
  <c r="L24" i="146"/>
  <c r="M24" i="146" s="1"/>
  <c r="K32" i="146"/>
  <c r="L32" i="146"/>
  <c r="M32" i="146" s="1"/>
  <c r="K21" i="146"/>
  <c r="L21" i="146"/>
  <c r="M21" i="146" s="1"/>
  <c r="K29" i="146"/>
  <c r="L29" i="146"/>
  <c r="M29" i="146" s="1"/>
  <c r="K35" i="146"/>
  <c r="L35" i="146"/>
  <c r="M35" i="146" s="1"/>
  <c r="K26" i="146"/>
  <c r="L26" i="146"/>
  <c r="M26" i="146" s="1"/>
  <c r="K34" i="146"/>
  <c r="L34" i="146"/>
  <c r="M34" i="146" s="1"/>
  <c r="K23" i="146"/>
  <c r="L23" i="146"/>
  <c r="M23" i="146" s="1"/>
  <c r="K31" i="146"/>
  <c r="L31" i="146"/>
  <c r="M31" i="146" s="1"/>
  <c r="K20" i="146"/>
  <c r="L20" i="146"/>
  <c r="M20" i="146" s="1"/>
  <c r="K28" i="146"/>
  <c r="L28" i="146"/>
  <c r="M28" i="146" s="1"/>
  <c r="K36" i="146"/>
  <c r="L36" i="146"/>
  <c r="M36" i="146" s="1"/>
  <c r="K25" i="146"/>
  <c r="L25" i="146"/>
  <c r="M25" i="146" s="1"/>
  <c r="K34" i="145"/>
  <c r="L34" i="145"/>
  <c r="M34" i="145" s="1"/>
  <c r="K31" i="145"/>
  <c r="L31" i="145"/>
  <c r="M31" i="145" s="1"/>
  <c r="K20" i="145"/>
  <c r="L20" i="145"/>
  <c r="M20" i="145" s="1"/>
  <c r="K28" i="145"/>
  <c r="L28" i="145"/>
  <c r="M28" i="145" s="1"/>
  <c r="K36" i="145"/>
  <c r="L36" i="145"/>
  <c r="M36" i="145" s="1"/>
  <c r="K25" i="145"/>
  <c r="L25" i="145"/>
  <c r="M25" i="145" s="1"/>
  <c r="K33" i="145"/>
  <c r="L33" i="145"/>
  <c r="M33" i="145" s="1"/>
  <c r="K19" i="145"/>
  <c r="L19" i="145"/>
  <c r="M19" i="145" s="1"/>
  <c r="K35" i="145"/>
  <c r="L35" i="145"/>
  <c r="M35" i="145" s="1"/>
  <c r="K26" i="145"/>
  <c r="L26" i="145"/>
  <c r="M26" i="145" s="1"/>
  <c r="K23" i="145"/>
  <c r="L23" i="145"/>
  <c r="M23" i="145" s="1"/>
  <c r="K22" i="145"/>
  <c r="L22" i="145"/>
  <c r="M22" i="145" s="1"/>
  <c r="K30" i="145"/>
  <c r="L30" i="145"/>
  <c r="M30" i="145" s="1"/>
  <c r="K27" i="145"/>
  <c r="L27" i="145"/>
  <c r="M27" i="145" s="1"/>
  <c r="K24" i="145"/>
  <c r="L24" i="145"/>
  <c r="M24" i="145" s="1"/>
  <c r="K32" i="145"/>
  <c r="L32" i="145"/>
  <c r="M32" i="145" s="1"/>
  <c r="K21" i="145"/>
  <c r="L21" i="145"/>
  <c r="M21" i="145" s="1"/>
  <c r="K29" i="145"/>
  <c r="L29" i="145"/>
  <c r="M29" i="145" s="1"/>
  <c r="K37" i="145"/>
  <c r="L37" i="145"/>
  <c r="M37" i="145" s="1"/>
  <c r="C10" i="12"/>
  <c r="C11" i="12"/>
  <c r="B9" i="52" l="1"/>
  <c r="B10" i="52"/>
  <c r="B11" i="52"/>
  <c r="B12" i="52"/>
  <c r="B13" i="52"/>
  <c r="B14" i="52"/>
  <c r="B15" i="52"/>
  <c r="B16" i="52"/>
  <c r="B17" i="52"/>
  <c r="B19" i="52"/>
  <c r="B20" i="52"/>
  <c r="B21" i="52"/>
  <c r="B22" i="52"/>
  <c r="B23" i="52"/>
  <c r="B24" i="52"/>
  <c r="B25" i="52"/>
  <c r="B26" i="52"/>
  <c r="B27" i="52"/>
  <c r="B28" i="52"/>
  <c r="B29" i="52"/>
  <c r="B30" i="52"/>
  <c r="AO36" i="52"/>
  <c r="AP36" i="52" s="1"/>
  <c r="AO35" i="52"/>
  <c r="AP35" i="52" s="1"/>
  <c r="AO34" i="52"/>
  <c r="AP34" i="52" s="1"/>
  <c r="AO33" i="52"/>
  <c r="AP33" i="52" s="1"/>
  <c r="AO32" i="52"/>
  <c r="AP32" i="52" s="1"/>
  <c r="AO31" i="52"/>
  <c r="AP31" i="52" s="1"/>
  <c r="AO30" i="52"/>
  <c r="AP30" i="52" s="1"/>
  <c r="D29" i="10" s="1"/>
  <c r="AO29" i="52"/>
  <c r="AP29" i="52" s="1"/>
  <c r="D28" i="10" s="1"/>
  <c r="AO28" i="52"/>
  <c r="AP28" i="52" s="1"/>
  <c r="D27" i="10" s="1"/>
  <c r="AO27" i="52"/>
  <c r="AP27" i="52" s="1"/>
  <c r="D26" i="10" s="1"/>
  <c r="AO26" i="52"/>
  <c r="AP26" i="52" s="1"/>
  <c r="D25" i="10" s="1"/>
  <c r="AO25" i="52"/>
  <c r="AP25" i="52" s="1"/>
  <c r="D24" i="10" s="1"/>
  <c r="AO24" i="52"/>
  <c r="AP24" i="52" s="1"/>
  <c r="D23" i="10" s="1"/>
  <c r="AO23" i="52"/>
  <c r="AP23" i="52" s="1"/>
  <c r="D22" i="10" s="1"/>
  <c r="AO22" i="52"/>
  <c r="AP22" i="52" s="1"/>
  <c r="D21" i="10" s="1"/>
  <c r="AO21" i="52"/>
  <c r="AP21" i="52" s="1"/>
  <c r="D20" i="10" s="1"/>
  <c r="AO20" i="52"/>
  <c r="AP20" i="52" s="1"/>
  <c r="D19" i="10" s="1"/>
  <c r="AO19" i="52"/>
  <c r="AP19" i="52" s="1"/>
  <c r="D18" i="10" s="1"/>
  <c r="AO18" i="52"/>
  <c r="AP18" i="52" s="1"/>
  <c r="D17" i="10" s="1"/>
  <c r="AO17" i="52"/>
  <c r="AP17" i="52" s="1"/>
  <c r="D16" i="10" s="1"/>
  <c r="AO16" i="52"/>
  <c r="AP16" i="52" s="1"/>
  <c r="D15" i="10" s="1"/>
  <c r="AO15" i="52"/>
  <c r="AP15" i="52" s="1"/>
  <c r="D14" i="10" s="1"/>
  <c r="AO14" i="52"/>
  <c r="AP14" i="52" s="1"/>
  <c r="D13" i="10" s="1"/>
  <c r="AO13" i="52"/>
  <c r="AP13" i="52" s="1"/>
  <c r="D12" i="10" s="1"/>
  <c r="AO12" i="52"/>
  <c r="AP12" i="52" s="1"/>
  <c r="D11" i="10" s="1"/>
  <c r="AO11" i="52"/>
  <c r="AP11" i="52" s="1"/>
  <c r="D10" i="10" s="1"/>
  <c r="AO10" i="52"/>
  <c r="AP10" i="52" s="1"/>
  <c r="D9" i="10" s="1"/>
  <c r="AO9" i="52"/>
  <c r="AP9" i="52" s="1"/>
  <c r="D8" i="10" s="1"/>
  <c r="H11" i="145" l="1"/>
  <c r="E9" i="10"/>
  <c r="H11" i="153"/>
  <c r="E17" i="10"/>
  <c r="H11" i="161"/>
  <c r="E25" i="10"/>
  <c r="H11" i="150"/>
  <c r="E14" i="10"/>
  <c r="H11" i="154"/>
  <c r="E18" i="10"/>
  <c r="H11" i="158"/>
  <c r="E22" i="10"/>
  <c r="H11" i="162"/>
  <c r="E26" i="10"/>
  <c r="H11" i="147"/>
  <c r="E11" i="10"/>
  <c r="H11" i="151"/>
  <c r="E15" i="10"/>
  <c r="H11" i="155"/>
  <c r="E19" i="10"/>
  <c r="H11" i="159"/>
  <c r="E23" i="10"/>
  <c r="H11" i="163"/>
  <c r="E27" i="10"/>
  <c r="H11" i="149"/>
  <c r="E13" i="10"/>
  <c r="H11" i="157"/>
  <c r="E21" i="10"/>
  <c r="H11" i="165"/>
  <c r="E29" i="10"/>
  <c r="H11" i="146"/>
  <c r="E10" i="10"/>
  <c r="E8" i="10"/>
  <c r="H11" i="148"/>
  <c r="E12" i="10"/>
  <c r="H11" i="152"/>
  <c r="E16" i="10"/>
  <c r="H11" i="156"/>
  <c r="E20" i="10"/>
  <c r="H11" i="160"/>
  <c r="E24" i="10"/>
  <c r="H11" i="164"/>
  <c r="E28" i="10"/>
  <c r="AO10" i="1"/>
  <c r="AP10" i="1" s="1"/>
  <c r="AO11" i="1"/>
  <c r="AP11" i="1" s="1"/>
  <c r="AO12" i="1"/>
  <c r="AP12" i="1" s="1"/>
  <c r="AO13" i="1"/>
  <c r="AP13" i="1" s="1"/>
  <c r="AO14" i="1"/>
  <c r="AP14" i="1" s="1"/>
  <c r="AO15" i="1"/>
  <c r="AP15" i="1" s="1"/>
  <c r="AO16" i="1"/>
  <c r="AP16" i="1" s="1"/>
  <c r="AO17" i="1"/>
  <c r="AP17" i="1" s="1"/>
  <c r="AO18" i="1"/>
  <c r="AP18" i="1" s="1"/>
  <c r="AO19" i="1"/>
  <c r="AP19" i="1" s="1"/>
  <c r="AO20" i="1"/>
  <c r="AP20" i="1" s="1"/>
  <c r="AO21" i="1"/>
  <c r="AP21" i="1" s="1"/>
  <c r="AO22" i="1"/>
  <c r="AP22" i="1" s="1"/>
  <c r="AO23" i="1"/>
  <c r="AP23" i="1" s="1"/>
  <c r="AO24" i="1"/>
  <c r="AP24" i="1" s="1"/>
  <c r="AO25" i="1"/>
  <c r="AP25" i="1" s="1"/>
  <c r="AO26" i="1"/>
  <c r="AP26" i="1" s="1"/>
  <c r="AO27" i="1"/>
  <c r="AP27" i="1" s="1"/>
  <c r="AO28" i="1"/>
  <c r="AP28" i="1" s="1"/>
  <c r="AO29" i="1"/>
  <c r="AP29" i="1" s="1"/>
  <c r="AO30" i="1"/>
  <c r="AP30" i="1" s="1"/>
  <c r="AO31" i="1"/>
  <c r="AP31" i="1" s="1"/>
  <c r="AO32" i="1"/>
  <c r="AP32" i="1" s="1"/>
  <c r="AO33" i="1"/>
  <c r="AP33" i="1" s="1"/>
  <c r="AO34" i="1"/>
  <c r="AP34" i="1" s="1"/>
  <c r="AO35" i="1"/>
  <c r="AP35" i="1" s="1"/>
  <c r="H12" i="148" l="1"/>
  <c r="H12" i="154"/>
  <c r="H12" i="147"/>
  <c r="H12" i="145"/>
  <c r="H12" i="158"/>
  <c r="H12" i="156"/>
  <c r="H12" i="146"/>
  <c r="H12" i="165"/>
  <c r="H12" i="152"/>
  <c r="H12" i="150"/>
  <c r="H12" i="161"/>
  <c r="H12" i="164"/>
  <c r="H12" i="159"/>
  <c r="H12" i="157"/>
  <c r="H12" i="163"/>
  <c r="H12" i="153"/>
  <c r="H12" i="160"/>
  <c r="H12" i="151"/>
  <c r="H12" i="149"/>
  <c r="H12" i="162"/>
  <c r="H12" i="155"/>
  <c r="H11" i="12"/>
  <c r="H12" i="12" l="1"/>
  <c r="H33" i="12"/>
  <c r="H29" i="12"/>
  <c r="AO9" i="1"/>
  <c r="L29" i="12" l="1"/>
  <c r="M29" i="12" s="1"/>
  <c r="L33" i="12"/>
  <c r="M33" i="12" s="1"/>
  <c r="K29" i="12"/>
  <c r="K33" i="12"/>
  <c r="H21" i="12"/>
  <c r="L21" i="12" s="1"/>
  <c r="M21" i="12" s="1"/>
  <c r="H37" i="12"/>
  <c r="L37" i="12" s="1"/>
  <c r="M37" i="12" s="1"/>
  <c r="H24" i="12"/>
  <c r="L24" i="12" s="1"/>
  <c r="M24" i="12" s="1"/>
  <c r="H31" i="12"/>
  <c r="L31" i="12" s="1"/>
  <c r="M31" i="12" s="1"/>
  <c r="H26" i="12"/>
  <c r="L26" i="12" s="1"/>
  <c r="M26" i="12" s="1"/>
  <c r="H28" i="12"/>
  <c r="L28" i="12" s="1"/>
  <c r="M28" i="12" s="1"/>
  <c r="H22" i="12"/>
  <c r="L22" i="12" s="1"/>
  <c r="M22" i="12" s="1"/>
  <c r="H25" i="12"/>
  <c r="L25" i="12" s="1"/>
  <c r="M25" i="12" s="1"/>
  <c r="H27" i="12"/>
  <c r="L27" i="12" s="1"/>
  <c r="M27" i="12" s="1"/>
  <c r="H34" i="12"/>
  <c r="L34" i="12" s="1"/>
  <c r="M34" i="12" s="1"/>
  <c r="H32" i="12"/>
  <c r="L32" i="12" s="1"/>
  <c r="M32" i="12" s="1"/>
  <c r="H23" i="12"/>
  <c r="L23" i="12" s="1"/>
  <c r="M23" i="12" s="1"/>
  <c r="H20" i="12"/>
  <c r="L20" i="12" s="1"/>
  <c r="M20" i="12" s="1"/>
  <c r="H30" i="12"/>
  <c r="L30" i="12" s="1"/>
  <c r="M30" i="12" s="1"/>
  <c r="H35" i="12"/>
  <c r="L35" i="12" s="1"/>
  <c r="M35" i="12" s="1"/>
  <c r="H36" i="12"/>
  <c r="L36" i="12" s="1"/>
  <c r="M36" i="12" s="1"/>
  <c r="AP9" i="1"/>
  <c r="K20" i="12" l="1"/>
  <c r="K27" i="12"/>
  <c r="K26" i="12"/>
  <c r="K21" i="12"/>
  <c r="K36" i="12"/>
  <c r="K23" i="12"/>
  <c r="K25" i="12"/>
  <c r="K31" i="12"/>
  <c r="K35" i="12"/>
  <c r="K32" i="12"/>
  <c r="K22" i="12"/>
  <c r="K24" i="12"/>
  <c r="K30" i="12"/>
  <c r="K34" i="12"/>
  <c r="K28" i="12"/>
  <c r="K37" i="12"/>
  <c r="H19" i="12"/>
  <c r="L19" i="12" s="1"/>
  <c r="C12" i="12"/>
  <c r="D17" i="12"/>
  <c r="D15" i="12"/>
  <c r="K19" i="12" l="1"/>
  <c r="M19" i="12"/>
  <c r="C9" i="12"/>
</calcChain>
</file>

<file path=xl/sharedStrings.xml><?xml version="1.0" encoding="utf-8"?>
<sst xmlns="http://schemas.openxmlformats.org/spreadsheetml/2006/main" count="1756" uniqueCount="187">
  <si>
    <t>S/NO</t>
  </si>
  <si>
    <t>CA</t>
  </si>
  <si>
    <t>EXAM</t>
  </si>
  <si>
    <t>BASIC SCIENCE</t>
  </si>
  <si>
    <t>BASIC TECH</t>
  </si>
  <si>
    <t>BUSINESS STUDIES</t>
  </si>
  <si>
    <t>AGRICULTURAL SCIENCE</t>
  </si>
  <si>
    <t>CULTURAL &amp; CREATIVE ART</t>
  </si>
  <si>
    <t>CIVIC EDUCATION</t>
  </si>
  <si>
    <t>CHRISTIAN RELIGIOUS STUDIES</t>
  </si>
  <si>
    <t>ENGLISH LANGUAGE</t>
  </si>
  <si>
    <t>ENGLISH PHONETICS</t>
  </si>
  <si>
    <t>STUDENT NAME</t>
  </si>
  <si>
    <t>FRENCH</t>
  </si>
  <si>
    <t>HISTORY</t>
  </si>
  <si>
    <t>HOME ECONOMICS</t>
  </si>
  <si>
    <t>INFORMATION TECHNOLOGY</t>
  </si>
  <si>
    <t>MATHEMATICS</t>
  </si>
  <si>
    <t>PHYSICAL &amp; HEALTH EDUCATION</t>
  </si>
  <si>
    <t>SECURITY EDUCATION</t>
  </si>
  <si>
    <t>SOCIAL STUDIES</t>
  </si>
  <si>
    <t>YORUBA LANGUAGE</t>
  </si>
  <si>
    <t>IGBO LANGUAGE</t>
  </si>
  <si>
    <t>ADDITIONAL DETAILS</t>
  </si>
  <si>
    <t>NO OF TIMES SCHOOL OPENED</t>
  </si>
  <si>
    <t>NO OF TIMES PRESENT</t>
  </si>
  <si>
    <t>CLASS TEACHER'S REMARK</t>
  </si>
  <si>
    <t>PRINCIPAL'S COMMENT</t>
  </si>
  <si>
    <t>CLASS AVERAGE</t>
  </si>
  <si>
    <t>POSITION</t>
  </si>
  <si>
    <t>TOTAL</t>
  </si>
  <si>
    <t>AVERAGE</t>
  </si>
  <si>
    <t>PUNCTUALITY</t>
  </si>
  <si>
    <t>NEATNESS</t>
  </si>
  <si>
    <t>HONESTY</t>
  </si>
  <si>
    <t>CREATIVITY</t>
  </si>
  <si>
    <t>REPORT CARD</t>
  </si>
  <si>
    <t>Student Name:</t>
  </si>
  <si>
    <t>Class:</t>
  </si>
  <si>
    <t>Session:</t>
  </si>
  <si>
    <t>Term:</t>
  </si>
  <si>
    <t>Next Term Begins:</t>
  </si>
  <si>
    <t>JSS 1A</t>
  </si>
  <si>
    <t>SESSION</t>
  </si>
  <si>
    <t>Position:</t>
  </si>
  <si>
    <t>No. in Class:</t>
  </si>
  <si>
    <t>No. of times School Opened:</t>
  </si>
  <si>
    <t>No. of times Present:</t>
  </si>
  <si>
    <t>FREQUENCIES</t>
  </si>
  <si>
    <t>SCHOOL ATTENDANCE</t>
  </si>
  <si>
    <t>PSYCHOMOTOR</t>
  </si>
  <si>
    <t>C</t>
  </si>
  <si>
    <t>D</t>
  </si>
  <si>
    <t>SUBJECT</t>
  </si>
  <si>
    <t>GRADE</t>
  </si>
  <si>
    <t>NUMBER IN CLASS</t>
  </si>
  <si>
    <t>NEXT TERM BEGINS</t>
  </si>
  <si>
    <t>CUMMULATIVE SCORE</t>
  </si>
  <si>
    <t>CLASS TEACHER'S REMARK:</t>
  </si>
  <si>
    <t>KEYS TO GRADE:</t>
  </si>
  <si>
    <t>PRINCIPAL'S COMMENT:</t>
  </si>
  <si>
    <t>A: [70 and Above] C: [50 - 69]  P: [40 - 49] F: [39 and Below]</t>
  </si>
  <si>
    <t>SIGNATURE &amp; STAMP</t>
  </si>
  <si>
    <t>He is well behaved and obedient</t>
  </si>
  <si>
    <t>He is always gentle and sociable</t>
  </si>
  <si>
    <t>She is always neat and punctual to school</t>
  </si>
  <si>
    <t>She is gentle and neat</t>
  </si>
  <si>
    <t>He is an obedient student</t>
  </si>
  <si>
    <t>He is respectful and always neat</t>
  </si>
  <si>
    <t>He is always neat and obedient</t>
  </si>
  <si>
    <t>He is respectful and obedient</t>
  </si>
  <si>
    <t>She is brilliant and industrious</t>
  </si>
  <si>
    <t>He is intelligent, obedient and hardworking</t>
  </si>
  <si>
    <t>He is brilliant, hardworking and industrious</t>
  </si>
  <si>
    <t>He is well behaved and intelligent</t>
  </si>
  <si>
    <t>He is hard working and always punctual to school</t>
  </si>
  <si>
    <t>He is truthful and reliable</t>
  </si>
  <si>
    <t>He is always attentive in the class</t>
  </si>
  <si>
    <t>He is punctual to school and well behaved</t>
  </si>
  <si>
    <t>He is quite, well behaved and always neat</t>
  </si>
  <si>
    <t>She is hardworking, obedient and well behaved</t>
  </si>
  <si>
    <t>She is respectful and obedient</t>
  </si>
  <si>
    <t>He is reliable, truthful and honest</t>
  </si>
  <si>
    <t>He is smart, eager to learn and respectful</t>
  </si>
  <si>
    <t>Fairly good. Give greater attention to your study next term</t>
  </si>
  <si>
    <t>This is good result. Keep working hard</t>
  </si>
  <si>
    <t>This performance is satisfactory.</t>
  </si>
  <si>
    <t>Good performance. Keep it up</t>
  </si>
  <si>
    <t>Fair result. You can improve in your weak subjects</t>
  </si>
  <si>
    <t>Good result. Try to put more effort in your weak areas</t>
  </si>
  <si>
    <t>Very good. You have performed so well. Keep up the good work</t>
  </si>
  <si>
    <t>Good performances. Work harder on your weak areas</t>
  </si>
  <si>
    <t>Good result but you can do better than this</t>
  </si>
  <si>
    <t>Very good result. Keep it up</t>
  </si>
  <si>
    <t>Excellent. Keep it up</t>
  </si>
  <si>
    <t>Poor result. You can do better next term</t>
  </si>
  <si>
    <t>Fairly good result. You can do better</t>
  </si>
  <si>
    <t>Fairly good. Buckle up next term</t>
  </si>
  <si>
    <t>Good result. You can surpass this performance next term</t>
  </si>
  <si>
    <t>Poor. Improve more on your studies to measure up. Learning is not difficult</t>
  </si>
  <si>
    <t>Excellent performance.</t>
  </si>
  <si>
    <t>Good result. You can improve on this next term</t>
  </si>
  <si>
    <t>Very good result. You can still do better.</t>
  </si>
  <si>
    <t>Poor result. Learn to devote time to private/personal studies</t>
  </si>
  <si>
    <t>Just fair. You can improve if only you will be more regular at school next term</t>
  </si>
  <si>
    <t>PASSPORT PHOTO</t>
  </si>
  <si>
    <t>Fairly good result. You need to work extra hard in your weak subjects area</t>
  </si>
  <si>
    <t>BROADSHEET</t>
  </si>
  <si>
    <t>2025/2026</t>
  </si>
  <si>
    <t>ADAKARAZA SAMUEL</t>
  </si>
  <si>
    <t>ADEOLA PEDRO</t>
  </si>
  <si>
    <t>ASAMS DANIELLA</t>
  </si>
  <si>
    <t>ASIBOR NANCY</t>
  </si>
  <si>
    <t>BANKOLE AMEERAT</t>
  </si>
  <si>
    <t>CHIEKEZIE MAXWELL</t>
  </si>
  <si>
    <t>EDET MOSES</t>
  </si>
  <si>
    <t>ENEJOH PHINEHAS</t>
  </si>
  <si>
    <t>EWELUKWA FAVOUR</t>
  </si>
  <si>
    <t>HAMMED OLAMIDE</t>
  </si>
  <si>
    <t>HAMZAT AKOREDE</t>
  </si>
  <si>
    <t>JAMES DIVINE</t>
  </si>
  <si>
    <t>JOEL JOSHUA</t>
  </si>
  <si>
    <t>JOSIAH SUNDAY</t>
  </si>
  <si>
    <t>KUFRE GOODNEWS</t>
  </si>
  <si>
    <t>NWABUEZE FAVOUR</t>
  </si>
  <si>
    <t>NWABUEZE VICTOR</t>
  </si>
  <si>
    <t>ONYINYECHI ANITA</t>
  </si>
  <si>
    <t>ORIAKU BRIGHT</t>
  </si>
  <si>
    <t>SAKA FAREED</t>
  </si>
  <si>
    <t>VICTOR LOVETH</t>
  </si>
  <si>
    <t>WASIU NIMOTALLAH</t>
  </si>
  <si>
    <t>A good result, you still need to work harder on your present scores.</t>
  </si>
  <si>
    <t>A good result you still need to work harder on your present scores. Promoted to the Next Class.</t>
  </si>
  <si>
    <t>Fairly good. Give greater attention to your study next term. Promoted to the Next Class.</t>
  </si>
  <si>
    <t>This is good result. Keep working hard. Promoted to the Next Class.</t>
  </si>
  <si>
    <t>This performance is satisfactory. Promoted to the Next Class.</t>
  </si>
  <si>
    <t>Good performance. Keep it up. Promoted to the Next Class.</t>
  </si>
  <si>
    <t>Poor. Improve more on your studies to measure up. Learning is not difficult. Promoted to the Next Class.</t>
  </si>
  <si>
    <t>Excellent performance. Promoted to the Next Class.</t>
  </si>
  <si>
    <t>Good result. You can improve on this next term. Promoted to the Next Class.</t>
  </si>
  <si>
    <t>Very good result. You can still do better. Promoted to the Next Class.</t>
  </si>
  <si>
    <t>Poor result. Learn to devote time to private/personal studies. Promoted to the Next Class.</t>
  </si>
  <si>
    <t>Just fair. You can improve if only you will be more regular at school next term. Promoted to the Next Class.</t>
  </si>
  <si>
    <t>He needs to pay more attention in class to improve his understanding.</t>
  </si>
  <si>
    <t>She is improving gradually but needs to participate more in class discussions.</t>
  </si>
  <si>
    <t>He should learn to submit assignments on time.</t>
  </si>
  <si>
    <t>She can do better if she avoids distractions during lessons.</t>
  </si>
  <si>
    <t>He is sometimes playful in class and needs to concentrate more.</t>
  </si>
  <si>
    <t>She tries her best but needs to put in more effort in her weak subjects.</t>
  </si>
  <si>
    <t>He is calm but should be more active in group work.</t>
  </si>
  <si>
    <t>She is responsible but needs to work on her handwriting.</t>
  </si>
  <si>
    <t>He is improving in behavior but still needs to avoid lateness.</t>
  </si>
  <si>
    <t>She is obedient but should learn to speak more confidently in class.</t>
  </si>
  <si>
    <t>He shows interest in learning but needs to be more consistent.</t>
  </si>
  <si>
    <t>She is friendly but talks too much during lessons.</t>
  </si>
  <si>
    <t>He needs to be more serious with his studies to achieve better results.</t>
  </si>
  <si>
    <t>She is respectful but sometimes forgets to complete her homework.</t>
  </si>
  <si>
    <t>He can perform better with greater commitment and focus.</t>
  </si>
  <si>
    <t>He loses concentration easily and must learn to stay focused during lessons.</t>
  </si>
  <si>
    <t>She is irregular in attendance and should be more punctual to school.</t>
  </si>
  <si>
    <t>He is careless with his books and needs to be more organized.</t>
  </si>
  <si>
    <t>She finds it difficult to follow instructions and must pay closer attention.</t>
  </si>
  <si>
    <t>He can do better if he reduces his level of playfulness in class.</t>
  </si>
  <si>
    <t>She needs to put more seriousness into her academic work</t>
  </si>
  <si>
    <t>SECOND TERM</t>
  </si>
  <si>
    <t>Cum Total</t>
  </si>
  <si>
    <t>Cum Average</t>
  </si>
  <si>
    <t>Cum Average:</t>
  </si>
  <si>
    <t>FIRST TERM</t>
  </si>
  <si>
    <t>20TH APRIL 2026</t>
  </si>
  <si>
    <t>THIRD TERM</t>
  </si>
  <si>
    <t>Third  Term Exam</t>
  </si>
  <si>
    <t>Third   Term CA</t>
  </si>
  <si>
    <t>Third   Term Total</t>
  </si>
  <si>
    <t>Second Term Score</t>
  </si>
  <si>
    <t>First    Term Score</t>
  </si>
  <si>
    <t>Male</t>
  </si>
  <si>
    <t>Female</t>
  </si>
  <si>
    <t>GENDER</t>
  </si>
  <si>
    <t>SN</t>
  </si>
  <si>
    <t>CLASS</t>
  </si>
  <si>
    <t>TERM</t>
  </si>
  <si>
    <t>Intentionally           Left Blank</t>
  </si>
  <si>
    <t>EASYNETT INT'L COLLEGE OF TECH. (EICT)</t>
  </si>
  <si>
    <t>76, WILMER CRESCENT, OLODI-APAPA, LAGOS</t>
  </si>
  <si>
    <t>EASYNETT INT'L COLLEGE OF TECH.</t>
  </si>
  <si>
    <r>
      <rPr>
        <b/>
        <sz val="12"/>
        <color rgb="FFFF0000"/>
        <rFont val="Calibri"/>
        <family val="2"/>
        <scheme val="minor"/>
      </rPr>
      <t>TEL:</t>
    </r>
    <r>
      <rPr>
        <sz val="12"/>
        <color rgb="FFFF0000"/>
        <rFont val="Calibri"/>
        <family val="2"/>
        <scheme val="minor"/>
      </rPr>
      <t xml:space="preserve"> 07030903097, 08054260717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</si>
</sst>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4"/>
      <color theme="1"/>
      <name val="Tahoma"/>
      <family val="2"/>
    </font>
    <font>
      <sz val="10"/>
      <color rgb="FF00B050"/>
      <name val="Tahoma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Tahoma"/>
      <family val="2"/>
    </font>
    <font>
      <b/>
      <sz val="24"/>
      <color rgb="FF00B050"/>
      <name val="Tahoma"/>
      <family val="2"/>
    </font>
    <font>
      <i/>
      <sz val="14"/>
      <color rgb="FF0070C0"/>
      <name val="Tahoma"/>
      <family val="2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8"/>
      <color rgb="FF00B05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rgb="FF0070C0"/>
      <name val="Calibri"/>
      <family val="2"/>
      <scheme val="minor"/>
    </font>
    <font>
      <b/>
      <sz val="22"/>
      <color rgb="FF7030A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color theme="1"/>
      <name val="Tahoma"/>
      <family val="2"/>
    </font>
    <font>
      <b/>
      <sz val="12"/>
      <color rgb="FF0070C0"/>
      <name val="Tahoma"/>
      <family val="2"/>
    </font>
    <font>
      <sz val="12"/>
      <color rgb="FF0070C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FF0000"/>
      <name val="Tahoma"/>
      <family val="2"/>
    </font>
    <font>
      <b/>
      <sz val="10"/>
      <color rgb="FF0070C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Tahoma"/>
      <family val="2"/>
    </font>
    <font>
      <b/>
      <i/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Protection="1">
      <protection locked="0"/>
    </xf>
    <xf numFmtId="0" fontId="0" fillId="0" borderId="2" xfId="0" applyBorder="1" applyAlignment="1">
      <alignment horizontal="center"/>
    </xf>
    <xf numFmtId="0" fontId="11" fillId="0" borderId="1" xfId="0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0" fillId="0" borderId="8" xfId="0" applyBorder="1"/>
    <xf numFmtId="0" fontId="0" fillId="0" borderId="10" xfId="0" applyBorder="1"/>
    <xf numFmtId="0" fontId="0" fillId="0" borderId="3" xfId="0" applyBorder="1"/>
    <xf numFmtId="0" fontId="12" fillId="0" borderId="0" xfId="0" applyFont="1" applyAlignment="1">
      <alignment vertical="center" textRotation="45"/>
    </xf>
    <xf numFmtId="0" fontId="18" fillId="0" borderId="11" xfId="0" applyFont="1" applyBorder="1" applyAlignment="1">
      <alignment vertical="center"/>
    </xf>
    <xf numFmtId="0" fontId="18" fillId="0" borderId="12" xfId="0" applyFont="1" applyBorder="1" applyAlignment="1">
      <alignment vertical="center"/>
    </xf>
    <xf numFmtId="0" fontId="7" fillId="0" borderId="2" xfId="0" applyFont="1" applyBorder="1"/>
    <xf numFmtId="0" fontId="11" fillId="0" borderId="3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7" fillId="0" borderId="7" xfId="0" applyFont="1" applyBorder="1"/>
    <xf numFmtId="0" fontId="8" fillId="0" borderId="10" xfId="0" applyFont="1" applyBorder="1" applyAlignment="1" applyProtection="1">
      <alignment horizontal="center"/>
      <protection locked="0"/>
    </xf>
    <xf numFmtId="0" fontId="22" fillId="0" borderId="7" xfId="0" applyFont="1" applyBorder="1" applyAlignment="1">
      <alignment vertical="center"/>
    </xf>
    <xf numFmtId="0" fontId="20" fillId="0" borderId="10" xfId="0" applyFont="1" applyBorder="1"/>
    <xf numFmtId="0" fontId="22" fillId="0" borderId="2" xfId="0" applyFont="1" applyBorder="1" applyAlignment="1">
      <alignment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/>
    <xf numFmtId="2" fontId="11" fillId="0" borderId="1" xfId="0" applyNumberFormat="1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2" fontId="0" fillId="0" borderId="1" xfId="0" applyNumberFormat="1" applyBorder="1" applyAlignment="1" applyProtection="1">
      <alignment horizontal="center"/>
      <protection hidden="1"/>
    </xf>
    <xf numFmtId="0" fontId="0" fillId="0" borderId="2" xfId="0" applyBorder="1" applyProtection="1">
      <protection hidden="1"/>
    </xf>
    <xf numFmtId="0" fontId="0" fillId="0" borderId="7" xfId="0" applyBorder="1" applyProtection="1">
      <protection hidden="1"/>
    </xf>
    <xf numFmtId="0" fontId="0" fillId="0" borderId="1" xfId="0" applyBorder="1" applyAlignment="1" applyProtection="1">
      <alignment horizontal="center"/>
      <protection hidden="1"/>
    </xf>
    <xf numFmtId="0" fontId="11" fillId="0" borderId="3" xfId="0" applyFont="1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 wrapText="1"/>
      <protection locked="0"/>
    </xf>
    <xf numFmtId="0" fontId="0" fillId="0" borderId="1" xfId="0" applyBorder="1" applyAlignment="1" applyProtection="1">
      <alignment wrapText="1"/>
      <protection locked="0"/>
    </xf>
    <xf numFmtId="0" fontId="10" fillId="3" borderId="13" xfId="0" applyFont="1" applyFill="1" applyBorder="1" applyAlignment="1">
      <alignment horizontal="center" vertical="center" textRotation="90"/>
    </xf>
    <xf numFmtId="0" fontId="10" fillId="2" borderId="13" xfId="0" applyFont="1" applyFill="1" applyBorder="1" applyAlignment="1">
      <alignment horizontal="center" vertical="center" textRotation="90"/>
    </xf>
    <xf numFmtId="0" fontId="0" fillId="0" borderId="1" xfId="0" applyBorder="1" applyAlignment="1" applyProtection="1">
      <alignment horizontal="right" wrapText="1"/>
      <protection locked="0"/>
    </xf>
    <xf numFmtId="0" fontId="8" fillId="0" borderId="13" xfId="0" applyFont="1" applyBorder="1" applyAlignment="1">
      <alignment horizontal="center" vertical="center"/>
    </xf>
    <xf numFmtId="0" fontId="11" fillId="0" borderId="1" xfId="0" applyFont="1" applyBorder="1" applyAlignment="1" applyProtection="1">
      <alignment horizontal="center" wrapText="1"/>
      <protection locked="0"/>
    </xf>
    <xf numFmtId="0" fontId="8" fillId="0" borderId="8" xfId="0" applyFont="1" applyBorder="1" applyAlignment="1" applyProtection="1">
      <alignment horizontal="center"/>
      <protection locked="0"/>
    </xf>
    <xf numFmtId="0" fontId="21" fillId="0" borderId="1" xfId="0" applyFont="1" applyBorder="1" applyAlignment="1">
      <alignment horizontal="center" vertical="center" textRotation="90" wrapText="1"/>
    </xf>
    <xf numFmtId="0" fontId="14" fillId="0" borderId="1" xfId="0" applyFont="1" applyBorder="1" applyAlignment="1">
      <alignment horizontal="center" vertical="center" textRotation="90" wrapText="1"/>
    </xf>
    <xf numFmtId="0" fontId="0" fillId="0" borderId="5" xfId="0" applyBorder="1"/>
    <xf numFmtId="0" fontId="8" fillId="0" borderId="3" xfId="0" applyFont="1" applyBorder="1" applyAlignment="1" applyProtection="1">
      <alignment horizontal="center"/>
      <protection locked="0"/>
    </xf>
    <xf numFmtId="0" fontId="24" fillId="0" borderId="2" xfId="0" applyFont="1" applyBorder="1" applyAlignment="1">
      <alignment vertical="center"/>
    </xf>
    <xf numFmtId="0" fontId="8" fillId="0" borderId="9" xfId="0" applyFont="1" applyBorder="1" applyAlignment="1" applyProtection="1">
      <alignment horizontal="center"/>
      <protection locked="0"/>
    </xf>
    <xf numFmtId="0" fontId="24" fillId="0" borderId="7" xfId="0" applyFont="1" applyBorder="1" applyAlignment="1">
      <alignment vertical="center"/>
    </xf>
    <xf numFmtId="0" fontId="11" fillId="0" borderId="10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0" fillId="0" borderId="0" xfId="0" applyProtection="1">
      <protection hidden="1"/>
    </xf>
    <xf numFmtId="2" fontId="11" fillId="0" borderId="13" xfId="0" applyNumberFormat="1" applyFont="1" applyBorder="1" applyAlignment="1" applyProtection="1">
      <alignment horizontal="right"/>
      <protection hidden="1"/>
    </xf>
    <xf numFmtId="2" fontId="11" fillId="0" borderId="10" xfId="0" applyNumberFormat="1" applyFont="1" applyBorder="1" applyAlignment="1" applyProtection="1">
      <alignment horizontal="right"/>
      <protection hidden="1"/>
    </xf>
    <xf numFmtId="2" fontId="11" fillId="0" borderId="1" xfId="0" applyNumberFormat="1" applyFont="1" applyBorder="1" applyProtection="1">
      <protection hidden="1"/>
    </xf>
    <xf numFmtId="0" fontId="12" fillId="0" borderId="5" xfId="0" applyFont="1" applyBorder="1" applyAlignment="1">
      <alignment horizontal="center" vertical="center" textRotation="45"/>
    </xf>
    <xf numFmtId="0" fontId="0" fillId="0" borderId="14" xfId="0" applyBorder="1" applyAlignment="1" applyProtection="1">
      <alignment horizontal="left" vertical="center"/>
      <protection hidden="1"/>
    </xf>
    <xf numFmtId="0" fontId="0" fillId="0" borderId="2" xfId="0" applyBorder="1" applyAlignment="1" applyProtection="1">
      <alignment horizontal="left" vertical="center"/>
      <protection hidden="1"/>
    </xf>
    <xf numFmtId="0" fontId="0" fillId="0" borderId="15" xfId="0" applyBorder="1" applyAlignment="1">
      <alignment horizontal="center"/>
    </xf>
    <xf numFmtId="0" fontId="7" fillId="0" borderId="1" xfId="0" applyFont="1" applyBorder="1" applyAlignment="1">
      <alignment horizontal="center" vertical="center" textRotation="90" wrapText="1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23" fillId="0" borderId="0" xfId="0" applyFont="1" applyAlignment="1" applyProtection="1">
      <alignment horizontal="center"/>
      <protection locked="0"/>
    </xf>
    <xf numFmtId="0" fontId="23" fillId="0" borderId="0" xfId="0" applyFont="1" applyProtection="1">
      <protection locked="0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5" fontId="1" fillId="0" borderId="0" xfId="0" applyNumberFormat="1" applyFont="1" applyAlignment="1" applyProtection="1">
      <alignment horizontal="center" vertical="center"/>
      <protection locked="0"/>
    </xf>
    <xf numFmtId="15" fontId="1" fillId="0" borderId="0" xfId="0" applyNumberFormat="1" applyFont="1" applyAlignment="1" applyProtection="1">
      <alignment vertical="center"/>
      <protection locked="0"/>
    </xf>
    <xf numFmtId="0" fontId="9" fillId="0" borderId="0" xfId="0" applyFont="1" applyAlignment="1">
      <alignment horizontal="center" vertical="center" textRotation="90" wrapText="1"/>
    </xf>
    <xf numFmtId="0" fontId="11" fillId="0" borderId="0" xfId="0" applyFont="1" applyAlignment="1" applyProtection="1">
      <alignment horizontal="center"/>
      <protection locked="0"/>
    </xf>
    <xf numFmtId="0" fontId="11" fillId="0" borderId="1" xfId="0" applyFont="1" applyBorder="1" applyAlignment="1" applyProtection="1">
      <alignment horizontal="center"/>
      <protection hidden="1"/>
    </xf>
    <xf numFmtId="0" fontId="11" fillId="0" borderId="1" xfId="0" applyFont="1" applyBorder="1" applyAlignment="1" applyProtection="1">
      <alignment horizontal="center"/>
      <protection locked="0" hidden="1"/>
    </xf>
    <xf numFmtId="0" fontId="0" fillId="0" borderId="1" xfId="0" applyBorder="1" applyAlignment="1" applyProtection="1">
      <alignment horizontal="center"/>
      <protection locked="0" hidden="1"/>
    </xf>
    <xf numFmtId="0" fontId="26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vertical="center"/>
    </xf>
    <xf numFmtId="0" fontId="27" fillId="0" borderId="1" xfId="0" applyFont="1" applyBorder="1"/>
    <xf numFmtId="0" fontId="7" fillId="0" borderId="0" xfId="0" applyFont="1" applyAlignment="1" applyProtection="1">
      <alignment vertical="center"/>
      <protection hidden="1"/>
    </xf>
    <xf numFmtId="0" fontId="11" fillId="0" borderId="0" xfId="0" applyFont="1" applyProtection="1">
      <protection hidden="1"/>
    </xf>
    <xf numFmtId="0" fontId="7" fillId="0" borderId="0" xfId="0" applyFont="1" applyProtection="1">
      <protection hidden="1"/>
    </xf>
    <xf numFmtId="0" fontId="29" fillId="0" borderId="1" xfId="0" applyFont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9" fillId="0" borderId="1" xfId="0" applyFont="1" applyBorder="1" applyAlignment="1">
      <alignment horizontal="center" vertical="center" textRotation="90" wrapText="1"/>
    </xf>
    <xf numFmtId="0" fontId="7" fillId="0" borderId="1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23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>
      <alignment horizontal="center"/>
    </xf>
    <xf numFmtId="0" fontId="0" fillId="0" borderId="1" xfId="0" applyBorder="1" applyAlignment="1" applyProtection="1">
      <alignment horizontal="left"/>
      <protection locked="0"/>
    </xf>
    <xf numFmtId="0" fontId="7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5" fontId="1" fillId="0" borderId="1" xfId="0" applyNumberFormat="1" applyFont="1" applyBorder="1" applyAlignment="1" applyProtection="1">
      <alignment horizontal="center" vertical="center"/>
      <protection locked="0"/>
    </xf>
    <xf numFmtId="0" fontId="11" fillId="0" borderId="5" xfId="0" applyFont="1" applyBorder="1" applyAlignment="1">
      <alignment horizontal="center"/>
    </xf>
    <xf numFmtId="0" fontId="19" fillId="0" borderId="2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textRotation="90"/>
    </xf>
    <xf numFmtId="0" fontId="11" fillId="0" borderId="4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3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1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2" fillId="0" borderId="1" xfId="0" applyFont="1" applyBorder="1" applyAlignment="1">
      <alignment horizontal="center" vertical="center" textRotation="45"/>
    </xf>
    <xf numFmtId="0" fontId="12" fillId="0" borderId="13" xfId="0" applyFont="1" applyBorder="1" applyAlignment="1">
      <alignment horizontal="center" vertical="center" textRotation="45"/>
    </xf>
    <xf numFmtId="0" fontId="0" fillId="0" borderId="15" xfId="0" applyBorder="1" applyAlignment="1" applyProtection="1">
      <alignment horizontal="center" wrapText="1"/>
      <protection locked="0"/>
    </xf>
    <xf numFmtId="0" fontId="0" fillId="0" borderId="1" xfId="0" applyFont="1" applyBorder="1" applyAlignment="1">
      <alignment horizontal="center" wrapText="1"/>
    </xf>
  </cellXfs>
  <cellStyles count="1">
    <cellStyle name="Normal" xfId="0" builtinId="0"/>
  </cellStyles>
  <dxfs count="110">
    <dxf>
      <font>
        <strike val="0"/>
        <color theme="0"/>
      </font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strike val="0"/>
        <color theme="0"/>
      </font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strike val="0"/>
        <color theme="0"/>
      </font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strike val="0"/>
        <color theme="0"/>
      </font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strike val="0"/>
        <color theme="0"/>
      </font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strike val="0"/>
        <color theme="0"/>
      </font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strike val="0"/>
        <color theme="0"/>
      </font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strike val="0"/>
        <color theme="0"/>
      </font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strike val="0"/>
        <color theme="0"/>
      </font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strike val="0"/>
        <color theme="0"/>
      </font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strike val="0"/>
        <color theme="0"/>
      </font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strike val="0"/>
        <color theme="0"/>
      </font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strike val="0"/>
        <color theme="0"/>
      </font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strike val="0"/>
        <color theme="0"/>
      </font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strike val="0"/>
        <color theme="0"/>
      </font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strike val="0"/>
        <color theme="0"/>
      </font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strike val="0"/>
        <color theme="0"/>
      </font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strike val="0"/>
        <color theme="0"/>
      </font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strike val="0"/>
        <color theme="0"/>
      </font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strike val="0"/>
        <color theme="0"/>
      </font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strike val="0"/>
        <color theme="0"/>
      </font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strike val="0"/>
        <color theme="0"/>
      </font>
    </dxf>
    <dxf>
      <font>
        <b/>
        <i val="0"/>
        <color rgb="FF00B05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4493F-4244-445A-8322-09EFA9E45799}">
  <sheetPr>
    <tabColor rgb="FF00B050"/>
  </sheetPr>
  <dimension ref="A1"/>
  <sheetViews>
    <sheetView workbookViewId="0">
      <selection activeCell="E17" sqref="E17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122AE-7111-4F89-9E8D-F115DF553E72}">
  <sheetPr>
    <tabColor rgb="FFFF0000"/>
  </sheetPr>
  <dimension ref="A1:AA1"/>
  <sheetViews>
    <sheetView workbookViewId="0">
      <selection activeCell="A2" sqref="A2"/>
    </sheetView>
  </sheetViews>
  <sheetFormatPr defaultRowHeight="15" x14ac:dyDescent="0.25"/>
  <cols>
    <col min="1" max="1" width="5.28515625" customWidth="1"/>
    <col min="2" max="2" width="15" bestFit="1" customWidth="1"/>
    <col min="3" max="3" width="8.140625" bestFit="1" customWidth="1"/>
    <col min="4" max="4" width="6.28515625" bestFit="1" customWidth="1"/>
    <col min="5" max="5" width="5.85546875" bestFit="1" customWidth="1"/>
    <col min="6" max="6" width="8.42578125" bestFit="1" customWidth="1"/>
    <col min="7" max="7" width="28.28515625" bestFit="1" customWidth="1"/>
    <col min="8" max="8" width="20.85546875" bestFit="1" customWidth="1"/>
    <col min="9" max="9" width="22.28515625" bestFit="1" customWidth="1"/>
    <col min="10" max="10" width="14" bestFit="1" customWidth="1"/>
    <col min="11" max="11" width="11" bestFit="1" customWidth="1"/>
    <col min="12" max="12" width="17.28515625" bestFit="1" customWidth="1"/>
    <col min="13" max="13" width="24.85546875" bestFit="1" customWidth="1"/>
    <col min="14" max="14" width="16.7109375" bestFit="1" customWidth="1"/>
    <col min="15" max="15" width="28.140625" bestFit="1" customWidth="1"/>
    <col min="16" max="16" width="18.85546875" bestFit="1" customWidth="1"/>
    <col min="17" max="17" width="19.140625" bestFit="1" customWidth="1"/>
    <col min="18" max="18" width="8" bestFit="1" customWidth="1"/>
    <col min="19" max="19" width="8.42578125" bestFit="1" customWidth="1"/>
    <col min="20" max="20" width="18" bestFit="1" customWidth="1"/>
    <col min="21" max="21" width="15.7109375" bestFit="1" customWidth="1"/>
    <col min="22" max="22" width="26.85546875" bestFit="1" customWidth="1"/>
    <col min="23" max="23" width="14.140625" bestFit="1" customWidth="1"/>
    <col min="24" max="24" width="29.85546875" bestFit="1" customWidth="1"/>
    <col min="25" max="25" width="20.28515625" bestFit="1" customWidth="1"/>
    <col min="26" max="26" width="15" bestFit="1" customWidth="1"/>
    <col min="27" max="27" width="18.7109375" bestFit="1" customWidth="1"/>
  </cols>
  <sheetData>
    <row r="1" spans="1:27" ht="15" customHeight="1" x14ac:dyDescent="0.25">
      <c r="A1" t="s">
        <v>179</v>
      </c>
      <c r="B1" t="s">
        <v>12</v>
      </c>
      <c r="C1" t="s">
        <v>178</v>
      </c>
      <c r="D1" t="s">
        <v>180</v>
      </c>
      <c r="E1" t="s">
        <v>181</v>
      </c>
      <c r="F1" t="s">
        <v>43</v>
      </c>
      <c r="G1" t="s">
        <v>24</v>
      </c>
      <c r="H1" t="s">
        <v>25</v>
      </c>
      <c r="I1" t="s">
        <v>6</v>
      </c>
      <c r="J1" t="s">
        <v>3</v>
      </c>
      <c r="K1" t="s">
        <v>4</v>
      </c>
      <c r="L1" t="s">
        <v>5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13</v>
      </c>
      <c r="S1" t="s">
        <v>14</v>
      </c>
      <c r="T1" t="s">
        <v>15</v>
      </c>
      <c r="U1" t="s">
        <v>22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36FA3-3146-4DCE-B4F2-799C2E47472C}">
  <sheetPr>
    <tabColor rgb="FF7030A0"/>
  </sheetPr>
  <dimension ref="A1"/>
  <sheetViews>
    <sheetView workbookViewId="0">
      <selection activeCell="G19" sqref="G19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AP48"/>
  <sheetViews>
    <sheetView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L15" sqref="L15"/>
    </sheetView>
  </sheetViews>
  <sheetFormatPr defaultRowHeight="15" x14ac:dyDescent="0.25"/>
  <cols>
    <col min="1" max="1" width="5.28515625" bestFit="1" customWidth="1"/>
    <col min="2" max="2" width="35.28515625" customWidth="1"/>
    <col min="3" max="14" width="3.28515625" bestFit="1" customWidth="1"/>
    <col min="15" max="15" width="3.85546875" customWidth="1"/>
    <col min="16" max="16" width="4.7109375" customWidth="1"/>
    <col min="17" max="26" width="3.28515625" bestFit="1" customWidth="1"/>
    <col min="27" max="28" width="3.28515625" customWidth="1"/>
    <col min="29" max="32" width="3.28515625" bestFit="1" customWidth="1"/>
    <col min="33" max="33" width="4.28515625" customWidth="1"/>
    <col min="34" max="34" width="4.140625" customWidth="1"/>
    <col min="35" max="40" width="3.28515625" bestFit="1" customWidth="1"/>
    <col min="41" max="41" width="8.140625" customWidth="1"/>
    <col min="42" max="42" width="11.85546875" customWidth="1"/>
  </cols>
  <sheetData>
    <row r="1" spans="1:42" ht="15" customHeight="1" x14ac:dyDescent="0.25">
      <c r="A1" s="99" t="s">
        <v>183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</row>
    <row r="2" spans="1:42" ht="15" customHeight="1" x14ac:dyDescent="0.25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</row>
    <row r="3" spans="1:42" ht="18" x14ac:dyDescent="0.25">
      <c r="A3" s="102" t="s">
        <v>184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2"/>
      <c r="AP3" s="102"/>
    </row>
    <row r="4" spans="1:42" ht="15.75" x14ac:dyDescent="0.25">
      <c r="A4" s="95" t="s">
        <v>43</v>
      </c>
      <c r="B4" s="95"/>
      <c r="C4" s="101" t="s">
        <v>108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1"/>
    </row>
    <row r="5" spans="1:42" ht="15" customHeight="1" x14ac:dyDescent="0.25">
      <c r="A5" s="98"/>
      <c r="B5" s="97" t="s">
        <v>168</v>
      </c>
      <c r="C5" s="85" t="s">
        <v>107</v>
      </c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7"/>
      <c r="AO5" s="91" t="s">
        <v>57</v>
      </c>
      <c r="AP5" s="92"/>
    </row>
    <row r="6" spans="1:42" ht="15" customHeight="1" x14ac:dyDescent="0.25">
      <c r="A6" s="98"/>
      <c r="B6" s="97"/>
      <c r="C6" s="88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90"/>
      <c r="AO6" s="93"/>
      <c r="AP6" s="94"/>
    </row>
    <row r="7" spans="1:42" ht="81" customHeight="1" x14ac:dyDescent="0.25">
      <c r="A7" s="96" t="s">
        <v>0</v>
      </c>
      <c r="B7" s="6" t="s">
        <v>42</v>
      </c>
      <c r="C7" s="84" t="s">
        <v>6</v>
      </c>
      <c r="D7" s="84"/>
      <c r="E7" s="83" t="s">
        <v>3</v>
      </c>
      <c r="F7" s="83"/>
      <c r="G7" s="84" t="s">
        <v>4</v>
      </c>
      <c r="H7" s="84"/>
      <c r="I7" s="83" t="s">
        <v>5</v>
      </c>
      <c r="J7" s="83"/>
      <c r="K7" s="84" t="s">
        <v>7</v>
      </c>
      <c r="L7" s="84">
        <v>10</v>
      </c>
      <c r="M7" s="83" t="s">
        <v>8</v>
      </c>
      <c r="N7" s="83">
        <v>12</v>
      </c>
      <c r="O7" s="84" t="s">
        <v>9</v>
      </c>
      <c r="P7" s="84"/>
      <c r="Q7" s="83" t="s">
        <v>10</v>
      </c>
      <c r="R7" s="83"/>
      <c r="S7" s="84" t="s">
        <v>11</v>
      </c>
      <c r="T7" s="84"/>
      <c r="U7" s="83" t="s">
        <v>13</v>
      </c>
      <c r="V7" s="83"/>
      <c r="W7" s="84" t="s">
        <v>14</v>
      </c>
      <c r="X7" s="84"/>
      <c r="Y7" s="83" t="s">
        <v>15</v>
      </c>
      <c r="Z7" s="83"/>
      <c r="AA7" s="84" t="s">
        <v>22</v>
      </c>
      <c r="AB7" s="84"/>
      <c r="AC7" s="83" t="s">
        <v>16</v>
      </c>
      <c r="AD7" s="83"/>
      <c r="AE7" s="84" t="s">
        <v>17</v>
      </c>
      <c r="AF7" s="84"/>
      <c r="AG7" s="83" t="s">
        <v>18</v>
      </c>
      <c r="AH7" s="83"/>
      <c r="AI7" s="84" t="s">
        <v>19</v>
      </c>
      <c r="AJ7" s="84"/>
      <c r="AK7" s="83" t="s">
        <v>20</v>
      </c>
      <c r="AL7" s="83"/>
      <c r="AM7" s="84" t="s">
        <v>21</v>
      </c>
      <c r="AN7" s="84"/>
      <c r="AO7" s="100" t="s">
        <v>30</v>
      </c>
      <c r="AP7" s="84" t="s">
        <v>31</v>
      </c>
    </row>
    <row r="8" spans="1:42" ht="29.25" x14ac:dyDescent="0.25">
      <c r="A8" s="96"/>
      <c r="B8" s="38" t="s">
        <v>12</v>
      </c>
      <c r="C8" s="36" t="s">
        <v>1</v>
      </c>
      <c r="D8" s="35" t="s">
        <v>2</v>
      </c>
      <c r="E8" s="36" t="s">
        <v>1</v>
      </c>
      <c r="F8" s="35" t="s">
        <v>2</v>
      </c>
      <c r="G8" s="36" t="s">
        <v>1</v>
      </c>
      <c r="H8" s="35" t="s">
        <v>2</v>
      </c>
      <c r="I8" s="36" t="s">
        <v>1</v>
      </c>
      <c r="J8" s="35" t="s">
        <v>2</v>
      </c>
      <c r="K8" s="36" t="s">
        <v>1</v>
      </c>
      <c r="L8" s="35" t="s">
        <v>2</v>
      </c>
      <c r="M8" s="36" t="s">
        <v>1</v>
      </c>
      <c r="N8" s="35" t="s">
        <v>2</v>
      </c>
      <c r="O8" s="36" t="s">
        <v>1</v>
      </c>
      <c r="P8" s="35" t="s">
        <v>2</v>
      </c>
      <c r="Q8" s="36" t="s">
        <v>1</v>
      </c>
      <c r="R8" s="35" t="s">
        <v>2</v>
      </c>
      <c r="S8" s="36" t="s">
        <v>1</v>
      </c>
      <c r="T8" s="35" t="s">
        <v>2</v>
      </c>
      <c r="U8" s="36" t="s">
        <v>1</v>
      </c>
      <c r="V8" s="35" t="s">
        <v>2</v>
      </c>
      <c r="W8" s="36" t="s">
        <v>1</v>
      </c>
      <c r="X8" s="35" t="s">
        <v>2</v>
      </c>
      <c r="Y8" s="36" t="s">
        <v>1</v>
      </c>
      <c r="Z8" s="35" t="s">
        <v>2</v>
      </c>
      <c r="AA8" s="36" t="s">
        <v>1</v>
      </c>
      <c r="AB8" s="35" t="s">
        <v>2</v>
      </c>
      <c r="AC8" s="36" t="s">
        <v>1</v>
      </c>
      <c r="AD8" s="35" t="s">
        <v>2</v>
      </c>
      <c r="AE8" s="36" t="s">
        <v>1</v>
      </c>
      <c r="AF8" s="35" t="s">
        <v>2</v>
      </c>
      <c r="AG8" s="36" t="s">
        <v>1</v>
      </c>
      <c r="AH8" s="35" t="s">
        <v>2</v>
      </c>
      <c r="AI8" s="36" t="s">
        <v>1</v>
      </c>
      <c r="AJ8" s="35" t="s">
        <v>2</v>
      </c>
      <c r="AK8" s="36" t="s">
        <v>1</v>
      </c>
      <c r="AL8" s="35" t="s">
        <v>2</v>
      </c>
      <c r="AM8" s="36" t="s">
        <v>1</v>
      </c>
      <c r="AN8" s="35" t="s">
        <v>2</v>
      </c>
      <c r="AO8" s="100"/>
      <c r="AP8" s="84"/>
    </row>
    <row r="9" spans="1:42" x14ac:dyDescent="0.25">
      <c r="A9" s="3">
        <v>1</v>
      </c>
      <c r="B9" s="2" t="s">
        <v>109</v>
      </c>
      <c r="C9" s="33">
        <v>28</v>
      </c>
      <c r="D9" s="33">
        <v>28</v>
      </c>
      <c r="E9" s="33">
        <v>28</v>
      </c>
      <c r="F9" s="33">
        <v>28</v>
      </c>
      <c r="G9" s="33">
        <v>17</v>
      </c>
      <c r="H9" s="33">
        <v>8</v>
      </c>
      <c r="I9" s="33">
        <v>17</v>
      </c>
      <c r="J9" s="33">
        <v>15</v>
      </c>
      <c r="K9" s="37">
        <v>13</v>
      </c>
      <c r="L9" s="37">
        <v>20</v>
      </c>
      <c r="M9" s="33">
        <v>17</v>
      </c>
      <c r="N9" s="33">
        <v>10</v>
      </c>
      <c r="O9" s="33">
        <v>21</v>
      </c>
      <c r="P9" s="33">
        <v>30</v>
      </c>
      <c r="Q9" s="33">
        <v>13</v>
      </c>
      <c r="R9" s="33">
        <v>11</v>
      </c>
      <c r="S9" s="34"/>
      <c r="T9" s="34"/>
      <c r="U9" s="33">
        <v>17</v>
      </c>
      <c r="V9" s="33">
        <v>6</v>
      </c>
      <c r="W9" s="33">
        <v>15</v>
      </c>
      <c r="X9" s="33">
        <v>11</v>
      </c>
      <c r="Y9" s="33">
        <v>20</v>
      </c>
      <c r="Z9" s="33">
        <v>24</v>
      </c>
      <c r="AA9" s="34"/>
      <c r="AB9" s="34"/>
      <c r="AC9" s="33">
        <v>18</v>
      </c>
      <c r="AD9" s="33">
        <v>10</v>
      </c>
      <c r="AE9" s="33">
        <v>20</v>
      </c>
      <c r="AF9" s="33">
        <v>20</v>
      </c>
      <c r="AG9" s="33">
        <v>29</v>
      </c>
      <c r="AH9" s="33">
        <v>10</v>
      </c>
      <c r="AI9" s="33">
        <v>15</v>
      </c>
      <c r="AJ9" s="33">
        <v>3</v>
      </c>
      <c r="AK9" s="33">
        <v>15</v>
      </c>
      <c r="AL9" s="33">
        <v>16</v>
      </c>
      <c r="AM9" s="33">
        <v>21</v>
      </c>
      <c r="AN9" s="33">
        <v>22</v>
      </c>
      <c r="AO9" s="32">
        <f>SUM(C9:AN9)</f>
        <v>596</v>
      </c>
      <c r="AP9" s="26">
        <f>AO9/17</f>
        <v>35.058823529411768</v>
      </c>
    </row>
    <row r="10" spans="1:42" x14ac:dyDescent="0.25">
      <c r="A10" s="3">
        <v>2</v>
      </c>
      <c r="B10" s="2" t="s">
        <v>110</v>
      </c>
      <c r="C10" s="33">
        <v>28</v>
      </c>
      <c r="D10" s="33">
        <v>39</v>
      </c>
      <c r="E10" s="33">
        <v>25</v>
      </c>
      <c r="F10" s="33">
        <v>39</v>
      </c>
      <c r="G10" s="33">
        <v>20</v>
      </c>
      <c r="H10" s="33">
        <v>22</v>
      </c>
      <c r="I10" s="33">
        <v>24</v>
      </c>
      <c r="J10" s="33">
        <v>23</v>
      </c>
      <c r="K10" s="33">
        <v>21</v>
      </c>
      <c r="L10" s="33">
        <v>20</v>
      </c>
      <c r="M10" s="33">
        <v>24</v>
      </c>
      <c r="N10" s="33">
        <v>10</v>
      </c>
      <c r="O10" s="33">
        <v>20</v>
      </c>
      <c r="P10" s="33">
        <v>30</v>
      </c>
      <c r="Q10" s="33">
        <v>24</v>
      </c>
      <c r="R10" s="33">
        <v>25</v>
      </c>
      <c r="S10" s="34"/>
      <c r="T10" s="34"/>
      <c r="U10" s="33">
        <v>22</v>
      </c>
      <c r="V10" s="33">
        <v>37</v>
      </c>
      <c r="W10" s="33">
        <v>28</v>
      </c>
      <c r="X10" s="33">
        <v>36</v>
      </c>
      <c r="Y10" s="33">
        <v>25</v>
      </c>
      <c r="Z10" s="33">
        <v>30</v>
      </c>
      <c r="AA10" s="34"/>
      <c r="AB10" s="34"/>
      <c r="AC10" s="33">
        <v>24</v>
      </c>
      <c r="AD10" s="33">
        <v>29</v>
      </c>
      <c r="AE10" s="33">
        <v>20</v>
      </c>
      <c r="AF10" s="33">
        <v>20</v>
      </c>
      <c r="AG10" s="33">
        <v>29</v>
      </c>
      <c r="AH10" s="33">
        <v>28</v>
      </c>
      <c r="AI10" s="33">
        <v>17</v>
      </c>
      <c r="AJ10" s="33">
        <v>4</v>
      </c>
      <c r="AK10" s="33">
        <v>14</v>
      </c>
      <c r="AL10" s="33">
        <v>22</v>
      </c>
      <c r="AM10" s="33">
        <v>27</v>
      </c>
      <c r="AN10" s="33">
        <v>40</v>
      </c>
      <c r="AO10" s="32">
        <f t="shared" ref="AO10:AO48" si="0">SUM(C10:AN10)</f>
        <v>846</v>
      </c>
      <c r="AP10" s="26">
        <f t="shared" ref="AP10:AP48" si="1">AO10/17</f>
        <v>49.764705882352942</v>
      </c>
    </row>
    <row r="11" spans="1:42" x14ac:dyDescent="0.25">
      <c r="A11" s="3">
        <v>3</v>
      </c>
      <c r="B11" s="2" t="s">
        <v>111</v>
      </c>
      <c r="C11" s="33">
        <v>28</v>
      </c>
      <c r="D11" s="33">
        <v>35</v>
      </c>
      <c r="E11" s="33">
        <v>25</v>
      </c>
      <c r="F11" s="33">
        <v>55</v>
      </c>
      <c r="G11" s="33">
        <v>22</v>
      </c>
      <c r="H11" s="33">
        <v>60</v>
      </c>
      <c r="I11" s="33">
        <v>18</v>
      </c>
      <c r="J11" s="33">
        <v>22</v>
      </c>
      <c r="K11" s="33">
        <v>20</v>
      </c>
      <c r="L11" s="33">
        <v>20</v>
      </c>
      <c r="M11" s="33">
        <v>17</v>
      </c>
      <c r="N11" s="33">
        <v>38</v>
      </c>
      <c r="O11" s="33">
        <v>28</v>
      </c>
      <c r="P11" s="33">
        <v>45</v>
      </c>
      <c r="Q11" s="33">
        <v>23</v>
      </c>
      <c r="R11" s="33">
        <v>52</v>
      </c>
      <c r="S11" s="34"/>
      <c r="T11" s="34"/>
      <c r="U11" s="33">
        <v>20</v>
      </c>
      <c r="V11" s="33">
        <v>43</v>
      </c>
      <c r="W11" s="33">
        <v>26</v>
      </c>
      <c r="X11" s="33">
        <v>35</v>
      </c>
      <c r="Y11" s="33">
        <v>25</v>
      </c>
      <c r="Z11" s="33">
        <v>31</v>
      </c>
      <c r="AA11" s="34"/>
      <c r="AB11" s="34"/>
      <c r="AC11" s="33">
        <v>18</v>
      </c>
      <c r="AD11" s="33">
        <v>37</v>
      </c>
      <c r="AE11" s="37">
        <v>20</v>
      </c>
      <c r="AF11" s="37">
        <v>30</v>
      </c>
      <c r="AG11" s="33">
        <v>26</v>
      </c>
      <c r="AH11" s="33">
        <v>32</v>
      </c>
      <c r="AI11" s="33">
        <v>20</v>
      </c>
      <c r="AJ11" s="33">
        <v>25</v>
      </c>
      <c r="AK11" s="33">
        <v>20</v>
      </c>
      <c r="AL11" s="33">
        <v>31</v>
      </c>
      <c r="AM11" s="33">
        <v>26</v>
      </c>
      <c r="AN11" s="33">
        <v>40</v>
      </c>
      <c r="AO11" s="32">
        <f t="shared" si="0"/>
        <v>1013</v>
      </c>
      <c r="AP11" s="26">
        <f t="shared" si="1"/>
        <v>59.588235294117645</v>
      </c>
    </row>
    <row r="12" spans="1:42" x14ac:dyDescent="0.25">
      <c r="A12" s="3">
        <v>4</v>
      </c>
      <c r="B12" s="2" t="s">
        <v>112</v>
      </c>
      <c r="C12" s="33">
        <v>28</v>
      </c>
      <c r="D12" s="33">
        <v>50</v>
      </c>
      <c r="E12" s="33">
        <v>27</v>
      </c>
      <c r="F12" s="33">
        <v>51</v>
      </c>
      <c r="G12" s="33">
        <v>20</v>
      </c>
      <c r="H12" s="33">
        <v>30</v>
      </c>
      <c r="I12" s="33">
        <v>24</v>
      </c>
      <c r="J12" s="33">
        <v>30</v>
      </c>
      <c r="K12" s="33">
        <v>29</v>
      </c>
      <c r="L12" s="33">
        <v>38</v>
      </c>
      <c r="M12" s="33">
        <v>23</v>
      </c>
      <c r="N12" s="33">
        <v>53</v>
      </c>
      <c r="O12" s="33">
        <v>23</v>
      </c>
      <c r="P12" s="33">
        <v>36</v>
      </c>
      <c r="Q12" s="33">
        <v>27</v>
      </c>
      <c r="R12" s="33">
        <v>26</v>
      </c>
      <c r="S12" s="34"/>
      <c r="T12" s="34"/>
      <c r="U12" s="33">
        <v>10</v>
      </c>
      <c r="V12" s="33">
        <v>44</v>
      </c>
      <c r="W12" s="33">
        <v>27</v>
      </c>
      <c r="X12" s="33">
        <v>35</v>
      </c>
      <c r="Y12" s="33">
        <v>23</v>
      </c>
      <c r="Z12" s="33">
        <v>30</v>
      </c>
      <c r="AA12" s="34"/>
      <c r="AB12" s="34"/>
      <c r="AC12" s="33">
        <v>21</v>
      </c>
      <c r="AD12" s="33">
        <v>36</v>
      </c>
      <c r="AE12" s="33">
        <v>20</v>
      </c>
      <c r="AF12" s="33">
        <v>28</v>
      </c>
      <c r="AG12" s="33">
        <v>26</v>
      </c>
      <c r="AH12" s="33">
        <v>40</v>
      </c>
      <c r="AI12" s="33">
        <v>17</v>
      </c>
      <c r="AJ12" s="33">
        <v>27</v>
      </c>
      <c r="AK12" s="33">
        <v>20</v>
      </c>
      <c r="AL12" s="33">
        <v>41</v>
      </c>
      <c r="AM12" s="33">
        <v>19</v>
      </c>
      <c r="AN12" s="33">
        <v>26</v>
      </c>
      <c r="AO12" s="32">
        <f t="shared" si="0"/>
        <v>1005</v>
      </c>
      <c r="AP12" s="26">
        <f t="shared" si="1"/>
        <v>59.117647058823529</v>
      </c>
    </row>
    <row r="13" spans="1:42" x14ac:dyDescent="0.25">
      <c r="A13" s="3">
        <v>5</v>
      </c>
      <c r="B13" s="2" t="s">
        <v>113</v>
      </c>
      <c r="C13" s="33">
        <v>28</v>
      </c>
      <c r="D13" s="33">
        <v>68</v>
      </c>
      <c r="E13" s="33">
        <v>28</v>
      </c>
      <c r="F13" s="33">
        <v>66</v>
      </c>
      <c r="G13" s="33">
        <v>22</v>
      </c>
      <c r="H13" s="33">
        <v>52</v>
      </c>
      <c r="I13" s="33">
        <v>16</v>
      </c>
      <c r="J13" s="33">
        <v>20</v>
      </c>
      <c r="K13" s="33">
        <v>20</v>
      </c>
      <c r="L13" s="33">
        <v>35</v>
      </c>
      <c r="M13" s="33">
        <v>22</v>
      </c>
      <c r="N13" s="33">
        <v>33</v>
      </c>
      <c r="O13" s="33">
        <v>24</v>
      </c>
      <c r="P13" s="33">
        <v>55</v>
      </c>
      <c r="Q13" s="33">
        <v>24</v>
      </c>
      <c r="R13" s="33">
        <v>41</v>
      </c>
      <c r="S13" s="34"/>
      <c r="T13" s="34"/>
      <c r="U13" s="33">
        <v>22</v>
      </c>
      <c r="V13" s="33">
        <v>56</v>
      </c>
      <c r="W13" s="33">
        <v>29</v>
      </c>
      <c r="X13" s="33">
        <v>57</v>
      </c>
      <c r="Y13" s="33">
        <v>27</v>
      </c>
      <c r="Z13" s="33">
        <v>53</v>
      </c>
      <c r="AA13" s="34"/>
      <c r="AB13" s="34"/>
      <c r="AC13" s="33">
        <v>24</v>
      </c>
      <c r="AD13" s="33">
        <v>39</v>
      </c>
      <c r="AE13" s="33">
        <v>25</v>
      </c>
      <c r="AF13" s="33">
        <v>40</v>
      </c>
      <c r="AG13" s="33">
        <v>26</v>
      </c>
      <c r="AH13" s="33">
        <v>37</v>
      </c>
      <c r="AI13" s="33">
        <v>21</v>
      </c>
      <c r="AJ13" s="33">
        <v>33</v>
      </c>
      <c r="AK13" s="33">
        <v>22</v>
      </c>
      <c r="AL13" s="33">
        <v>53</v>
      </c>
      <c r="AM13" s="33">
        <v>23</v>
      </c>
      <c r="AN13" s="33">
        <v>68</v>
      </c>
      <c r="AO13" s="32">
        <f t="shared" si="0"/>
        <v>1209</v>
      </c>
      <c r="AP13" s="26">
        <f t="shared" si="1"/>
        <v>71.117647058823536</v>
      </c>
    </row>
    <row r="14" spans="1:42" x14ac:dyDescent="0.25">
      <c r="A14" s="3">
        <v>6</v>
      </c>
      <c r="B14" s="2" t="s">
        <v>114</v>
      </c>
      <c r="C14" s="33">
        <v>28</v>
      </c>
      <c r="D14" s="33">
        <v>18</v>
      </c>
      <c r="E14" s="33">
        <v>22</v>
      </c>
      <c r="F14" s="33">
        <v>21</v>
      </c>
      <c r="G14" s="33">
        <v>20</v>
      </c>
      <c r="H14" s="33">
        <v>5</v>
      </c>
      <c r="I14" s="33">
        <v>16</v>
      </c>
      <c r="J14" s="33">
        <v>32</v>
      </c>
      <c r="K14" s="33">
        <v>20</v>
      </c>
      <c r="L14" s="33">
        <v>20</v>
      </c>
      <c r="M14" s="33">
        <v>14</v>
      </c>
      <c r="N14" s="33">
        <v>22</v>
      </c>
      <c r="O14" s="33">
        <v>17</v>
      </c>
      <c r="P14" s="33">
        <v>13</v>
      </c>
      <c r="Q14" s="33">
        <v>18</v>
      </c>
      <c r="R14" s="33">
        <v>14</v>
      </c>
      <c r="S14" s="34"/>
      <c r="T14" s="34"/>
      <c r="U14" s="33">
        <v>18</v>
      </c>
      <c r="V14" s="33">
        <v>1</v>
      </c>
      <c r="W14" s="33">
        <v>17</v>
      </c>
      <c r="X14" s="33">
        <v>24</v>
      </c>
      <c r="Y14" s="33">
        <v>20</v>
      </c>
      <c r="Z14" s="33">
        <v>20</v>
      </c>
      <c r="AA14" s="34"/>
      <c r="AB14" s="34"/>
      <c r="AC14" s="33">
        <v>18</v>
      </c>
      <c r="AD14" s="33">
        <v>25</v>
      </c>
      <c r="AE14" s="33">
        <v>20</v>
      </c>
      <c r="AF14" s="33">
        <v>18</v>
      </c>
      <c r="AG14" s="33">
        <v>29</v>
      </c>
      <c r="AH14" s="33">
        <v>7</v>
      </c>
      <c r="AI14" s="33">
        <v>14</v>
      </c>
      <c r="AJ14" s="33">
        <v>5</v>
      </c>
      <c r="AK14" s="33">
        <v>20</v>
      </c>
      <c r="AL14" s="33">
        <v>17</v>
      </c>
      <c r="AM14" s="33">
        <v>12</v>
      </c>
      <c r="AN14" s="33">
        <v>7</v>
      </c>
      <c r="AO14" s="32">
        <f t="shared" si="0"/>
        <v>592</v>
      </c>
      <c r="AP14" s="26">
        <f t="shared" si="1"/>
        <v>34.823529411764703</v>
      </c>
    </row>
    <row r="15" spans="1:42" x14ac:dyDescent="0.25">
      <c r="A15" s="3">
        <v>7</v>
      </c>
      <c r="B15" s="2" t="s">
        <v>115</v>
      </c>
      <c r="C15" s="33">
        <v>28</v>
      </c>
      <c r="D15" s="33">
        <v>30</v>
      </c>
      <c r="E15" s="33">
        <v>25</v>
      </c>
      <c r="F15" s="33">
        <v>37</v>
      </c>
      <c r="G15" s="33">
        <v>25</v>
      </c>
      <c r="H15" s="33">
        <v>42</v>
      </c>
      <c r="I15" s="33">
        <v>14</v>
      </c>
      <c r="J15" s="33">
        <v>42</v>
      </c>
      <c r="K15" s="33">
        <v>27</v>
      </c>
      <c r="L15" s="33">
        <v>40</v>
      </c>
      <c r="M15" s="33">
        <v>20</v>
      </c>
      <c r="N15" s="33">
        <v>22</v>
      </c>
      <c r="O15" s="33">
        <v>18</v>
      </c>
      <c r="P15" s="33">
        <v>45</v>
      </c>
      <c r="Q15" s="33">
        <v>19</v>
      </c>
      <c r="R15" s="33">
        <v>18</v>
      </c>
      <c r="S15" s="34"/>
      <c r="T15" s="34"/>
      <c r="U15" s="33">
        <v>11</v>
      </c>
      <c r="V15" s="33">
        <v>41</v>
      </c>
      <c r="W15" s="33">
        <v>23</v>
      </c>
      <c r="X15" s="33">
        <v>41</v>
      </c>
      <c r="Y15" s="33">
        <v>27</v>
      </c>
      <c r="Z15" s="33">
        <v>43</v>
      </c>
      <c r="AA15" s="34"/>
      <c r="AB15" s="34"/>
      <c r="AC15" s="33">
        <v>17</v>
      </c>
      <c r="AD15" s="33">
        <v>34</v>
      </c>
      <c r="AE15" s="33">
        <v>20</v>
      </c>
      <c r="AF15" s="33">
        <v>48</v>
      </c>
      <c r="AG15" s="33">
        <v>27</v>
      </c>
      <c r="AH15" s="33">
        <v>28</v>
      </c>
      <c r="AI15" s="33">
        <v>15</v>
      </c>
      <c r="AJ15" s="33">
        <v>38</v>
      </c>
      <c r="AK15" s="33">
        <v>15</v>
      </c>
      <c r="AL15" s="33">
        <v>18</v>
      </c>
      <c r="AM15" s="33">
        <v>22</v>
      </c>
      <c r="AN15" s="33">
        <v>16</v>
      </c>
      <c r="AO15" s="32">
        <f t="shared" si="0"/>
        <v>936</v>
      </c>
      <c r="AP15" s="26">
        <f t="shared" si="1"/>
        <v>55.058823529411768</v>
      </c>
    </row>
    <row r="16" spans="1:42" x14ac:dyDescent="0.25">
      <c r="A16" s="3">
        <v>8</v>
      </c>
      <c r="B16" s="2" t="s">
        <v>116</v>
      </c>
      <c r="C16" s="33">
        <v>28</v>
      </c>
      <c r="D16" s="33">
        <v>39</v>
      </c>
      <c r="E16" s="33">
        <v>22</v>
      </c>
      <c r="F16" s="33">
        <v>24</v>
      </c>
      <c r="G16" s="33">
        <v>28</v>
      </c>
      <c r="H16" s="33">
        <v>4</v>
      </c>
      <c r="I16" s="33">
        <v>15</v>
      </c>
      <c r="J16" s="33">
        <v>15</v>
      </c>
      <c r="K16" s="33">
        <v>20</v>
      </c>
      <c r="L16" s="33">
        <v>20</v>
      </c>
      <c r="M16" s="33">
        <v>21</v>
      </c>
      <c r="N16" s="33">
        <v>26</v>
      </c>
      <c r="O16" s="33">
        <v>18</v>
      </c>
      <c r="P16" s="33">
        <v>16</v>
      </c>
      <c r="Q16" s="33">
        <v>18</v>
      </c>
      <c r="R16" s="33">
        <v>13</v>
      </c>
      <c r="S16" s="34"/>
      <c r="T16" s="34"/>
      <c r="U16" s="33">
        <v>19</v>
      </c>
      <c r="V16" s="33">
        <v>8</v>
      </c>
      <c r="W16" s="33">
        <v>23</v>
      </c>
      <c r="X16" s="33">
        <v>9</v>
      </c>
      <c r="Y16" s="33">
        <v>20</v>
      </c>
      <c r="Z16" s="33">
        <v>20</v>
      </c>
      <c r="AA16" s="34"/>
      <c r="AB16" s="34"/>
      <c r="AC16" s="33">
        <v>18</v>
      </c>
      <c r="AD16" s="33">
        <v>22</v>
      </c>
      <c r="AE16" s="33">
        <v>20</v>
      </c>
      <c r="AF16" s="33">
        <v>14</v>
      </c>
      <c r="AG16" s="33">
        <v>29</v>
      </c>
      <c r="AH16" s="33">
        <v>20</v>
      </c>
      <c r="AI16" s="33">
        <v>18</v>
      </c>
      <c r="AJ16" s="33">
        <v>14</v>
      </c>
      <c r="AK16" s="33">
        <v>23</v>
      </c>
      <c r="AL16" s="33">
        <v>25</v>
      </c>
      <c r="AM16" s="33">
        <v>13</v>
      </c>
      <c r="AN16" s="33">
        <v>27</v>
      </c>
      <c r="AO16" s="32">
        <f t="shared" si="0"/>
        <v>669</v>
      </c>
      <c r="AP16" s="26">
        <f t="shared" si="1"/>
        <v>39.352941176470587</v>
      </c>
    </row>
    <row r="17" spans="1:42" x14ac:dyDescent="0.25">
      <c r="A17" s="3">
        <v>9</v>
      </c>
      <c r="B17" s="2" t="s">
        <v>117</v>
      </c>
      <c r="C17" s="33">
        <v>28</v>
      </c>
      <c r="D17" s="33">
        <v>63</v>
      </c>
      <c r="E17" s="33">
        <v>27</v>
      </c>
      <c r="F17" s="33">
        <v>53</v>
      </c>
      <c r="G17" s="33">
        <v>27</v>
      </c>
      <c r="H17" s="33">
        <v>46</v>
      </c>
      <c r="I17" s="33">
        <v>20</v>
      </c>
      <c r="J17" s="33">
        <v>40</v>
      </c>
      <c r="K17" s="33">
        <v>26</v>
      </c>
      <c r="L17" s="33">
        <v>30</v>
      </c>
      <c r="M17" s="33">
        <v>17</v>
      </c>
      <c r="N17" s="33">
        <v>16</v>
      </c>
      <c r="O17" s="33">
        <v>21</v>
      </c>
      <c r="P17" s="33">
        <v>49</v>
      </c>
      <c r="Q17" s="33">
        <v>28</v>
      </c>
      <c r="R17" s="33">
        <v>40</v>
      </c>
      <c r="S17" s="34"/>
      <c r="T17" s="34"/>
      <c r="U17" s="33">
        <v>20</v>
      </c>
      <c r="V17" s="33">
        <v>50</v>
      </c>
      <c r="W17" s="33">
        <v>30</v>
      </c>
      <c r="X17" s="33">
        <v>54</v>
      </c>
      <c r="Y17" s="33">
        <v>29</v>
      </c>
      <c r="Z17" s="33">
        <v>53</v>
      </c>
      <c r="AA17" s="34"/>
      <c r="AB17" s="34"/>
      <c r="AC17" s="33">
        <v>23</v>
      </c>
      <c r="AD17" s="33">
        <v>38</v>
      </c>
      <c r="AE17" s="33">
        <v>20</v>
      </c>
      <c r="AF17" s="33">
        <v>25</v>
      </c>
      <c r="AG17" s="33">
        <v>26</v>
      </c>
      <c r="AH17" s="33">
        <v>35</v>
      </c>
      <c r="AI17" s="33">
        <v>19</v>
      </c>
      <c r="AJ17" s="33">
        <v>24</v>
      </c>
      <c r="AK17" s="33">
        <v>23</v>
      </c>
      <c r="AL17" s="33">
        <v>35</v>
      </c>
      <c r="AM17" s="33">
        <v>24</v>
      </c>
      <c r="AN17" s="33">
        <v>14</v>
      </c>
      <c r="AO17" s="32">
        <f t="shared" si="0"/>
        <v>1073</v>
      </c>
      <c r="AP17" s="26">
        <f t="shared" si="1"/>
        <v>63.117647058823529</v>
      </c>
    </row>
    <row r="18" spans="1:42" x14ac:dyDescent="0.25">
      <c r="A18" s="3">
        <v>10</v>
      </c>
      <c r="B18" s="2" t="s">
        <v>118</v>
      </c>
      <c r="C18" s="33">
        <v>28</v>
      </c>
      <c r="D18" s="33">
        <v>5</v>
      </c>
      <c r="E18" s="33">
        <v>17</v>
      </c>
      <c r="F18" s="33">
        <v>5</v>
      </c>
      <c r="G18" s="33">
        <v>26</v>
      </c>
      <c r="H18" s="33">
        <v>5</v>
      </c>
      <c r="I18" s="33">
        <v>14</v>
      </c>
      <c r="J18" s="33">
        <v>15</v>
      </c>
      <c r="K18" s="33">
        <v>10</v>
      </c>
      <c r="L18" s="33">
        <v>20</v>
      </c>
      <c r="M18" s="33">
        <v>14</v>
      </c>
      <c r="N18" s="33">
        <v>10</v>
      </c>
      <c r="O18" s="33">
        <v>18</v>
      </c>
      <c r="P18" s="33">
        <v>16</v>
      </c>
      <c r="Q18" s="33">
        <v>17</v>
      </c>
      <c r="R18" s="33">
        <v>9</v>
      </c>
      <c r="S18" s="34"/>
      <c r="T18" s="34"/>
      <c r="U18" s="33">
        <v>15</v>
      </c>
      <c r="V18" s="33">
        <v>2</v>
      </c>
      <c r="W18" s="33">
        <v>17</v>
      </c>
      <c r="X18" s="33">
        <v>1</v>
      </c>
      <c r="Y18" s="33">
        <v>20</v>
      </c>
      <c r="Z18" s="33">
        <v>20</v>
      </c>
      <c r="AA18" s="34"/>
      <c r="AB18" s="34"/>
      <c r="AC18" s="33">
        <v>11</v>
      </c>
      <c r="AD18" s="33">
        <v>2</v>
      </c>
      <c r="AE18" s="33">
        <v>15</v>
      </c>
      <c r="AF18" s="33">
        <v>5</v>
      </c>
      <c r="AG18" s="33">
        <v>30</v>
      </c>
      <c r="AH18" s="33">
        <v>1</v>
      </c>
      <c r="AI18" s="33">
        <v>12</v>
      </c>
      <c r="AJ18" s="33">
        <v>5</v>
      </c>
      <c r="AK18" s="33">
        <v>8</v>
      </c>
      <c r="AL18" s="33">
        <v>9</v>
      </c>
      <c r="AM18" s="33">
        <v>9</v>
      </c>
      <c r="AN18" s="33">
        <v>1</v>
      </c>
      <c r="AO18" s="32">
        <f t="shared" si="0"/>
        <v>412</v>
      </c>
      <c r="AP18" s="26">
        <f t="shared" si="1"/>
        <v>24.235294117647058</v>
      </c>
    </row>
    <row r="19" spans="1:42" x14ac:dyDescent="0.25">
      <c r="A19" s="3">
        <v>11</v>
      </c>
      <c r="B19" s="2" t="s">
        <v>119</v>
      </c>
      <c r="C19" s="33">
        <v>28</v>
      </c>
      <c r="D19" s="33">
        <v>27</v>
      </c>
      <c r="E19" s="33">
        <v>18</v>
      </c>
      <c r="F19" s="33">
        <v>2</v>
      </c>
      <c r="G19" s="33">
        <v>25</v>
      </c>
      <c r="H19" s="33">
        <v>18</v>
      </c>
      <c r="I19" s="33">
        <v>14</v>
      </c>
      <c r="J19" s="33">
        <v>15</v>
      </c>
      <c r="K19" s="33">
        <v>20</v>
      </c>
      <c r="L19" s="33">
        <v>20</v>
      </c>
      <c r="M19" s="33">
        <v>18</v>
      </c>
      <c r="N19" s="33">
        <v>10</v>
      </c>
      <c r="O19" s="33">
        <v>18</v>
      </c>
      <c r="P19" s="33">
        <v>11</v>
      </c>
      <c r="Q19" s="33">
        <v>18</v>
      </c>
      <c r="R19" s="33">
        <v>15</v>
      </c>
      <c r="S19" s="34"/>
      <c r="T19" s="34"/>
      <c r="U19" s="33">
        <v>17</v>
      </c>
      <c r="V19" s="33">
        <v>7</v>
      </c>
      <c r="W19" s="33">
        <v>22</v>
      </c>
      <c r="X19" s="33">
        <v>15</v>
      </c>
      <c r="Y19" s="33">
        <v>20</v>
      </c>
      <c r="Z19" s="33">
        <v>25</v>
      </c>
      <c r="AA19" s="34"/>
      <c r="AB19" s="34"/>
      <c r="AC19" s="33">
        <v>14</v>
      </c>
      <c r="AD19" s="33">
        <v>12</v>
      </c>
      <c r="AE19" s="33">
        <v>18</v>
      </c>
      <c r="AF19" s="33">
        <v>5</v>
      </c>
      <c r="AG19" s="33">
        <v>30</v>
      </c>
      <c r="AH19" s="33">
        <v>7</v>
      </c>
      <c r="AI19" s="33">
        <v>15</v>
      </c>
      <c r="AJ19" s="33">
        <v>5</v>
      </c>
      <c r="AK19" s="33">
        <v>20</v>
      </c>
      <c r="AL19" s="33">
        <v>15</v>
      </c>
      <c r="AM19" s="33">
        <v>19</v>
      </c>
      <c r="AN19" s="33">
        <v>27</v>
      </c>
      <c r="AO19" s="32">
        <f t="shared" si="0"/>
        <v>570</v>
      </c>
      <c r="AP19" s="26">
        <f t="shared" si="1"/>
        <v>33.529411764705884</v>
      </c>
    </row>
    <row r="20" spans="1:42" x14ac:dyDescent="0.25">
      <c r="A20" s="3">
        <v>12</v>
      </c>
      <c r="B20" s="2" t="s">
        <v>120</v>
      </c>
      <c r="C20" s="33">
        <v>28</v>
      </c>
      <c r="D20" s="33">
        <v>28</v>
      </c>
      <c r="E20" s="33">
        <v>19</v>
      </c>
      <c r="F20" s="33">
        <v>14</v>
      </c>
      <c r="G20" s="33">
        <v>27</v>
      </c>
      <c r="H20" s="33">
        <v>7</v>
      </c>
      <c r="I20" s="33">
        <v>16</v>
      </c>
      <c r="J20" s="33">
        <v>24</v>
      </c>
      <c r="K20" s="33">
        <v>20</v>
      </c>
      <c r="L20" s="33">
        <v>20</v>
      </c>
      <c r="M20" s="33">
        <v>19</v>
      </c>
      <c r="N20" s="33">
        <v>12</v>
      </c>
      <c r="O20" s="33">
        <v>18</v>
      </c>
      <c r="P20" s="33">
        <v>24</v>
      </c>
      <c r="Q20" s="33">
        <v>21</v>
      </c>
      <c r="R20" s="33">
        <v>10</v>
      </c>
      <c r="S20" s="34"/>
      <c r="T20" s="34"/>
      <c r="U20" s="33">
        <v>16</v>
      </c>
      <c r="V20" s="33">
        <v>4</v>
      </c>
      <c r="W20" s="33">
        <v>21</v>
      </c>
      <c r="X20" s="33">
        <v>13</v>
      </c>
      <c r="Y20" s="33">
        <v>25</v>
      </c>
      <c r="Z20" s="33">
        <v>25</v>
      </c>
      <c r="AA20" s="34"/>
      <c r="AB20" s="34"/>
      <c r="AC20" s="33">
        <v>14</v>
      </c>
      <c r="AD20" s="33">
        <v>23</v>
      </c>
      <c r="AE20" s="33">
        <v>18</v>
      </c>
      <c r="AF20" s="33">
        <v>18</v>
      </c>
      <c r="AG20" s="33">
        <v>30</v>
      </c>
      <c r="AH20" s="33">
        <v>10</v>
      </c>
      <c r="AI20" s="33">
        <v>16</v>
      </c>
      <c r="AJ20" s="33">
        <v>7</v>
      </c>
      <c r="AK20" s="33">
        <v>22</v>
      </c>
      <c r="AL20" s="33">
        <v>23</v>
      </c>
      <c r="AM20" s="33">
        <v>14</v>
      </c>
      <c r="AN20" s="33">
        <v>38</v>
      </c>
      <c r="AO20" s="32">
        <f t="shared" si="0"/>
        <v>644</v>
      </c>
      <c r="AP20" s="26">
        <f t="shared" si="1"/>
        <v>37.882352941176471</v>
      </c>
    </row>
    <row r="21" spans="1:42" x14ac:dyDescent="0.25">
      <c r="A21" s="3">
        <v>13</v>
      </c>
      <c r="B21" s="2" t="s">
        <v>121</v>
      </c>
      <c r="C21" s="33">
        <v>28</v>
      </c>
      <c r="D21" s="33">
        <v>36</v>
      </c>
      <c r="E21" s="33">
        <v>20</v>
      </c>
      <c r="F21" s="33">
        <v>39</v>
      </c>
      <c r="G21" s="33">
        <v>26</v>
      </c>
      <c r="H21" s="33">
        <v>15</v>
      </c>
      <c r="I21" s="33">
        <v>14</v>
      </c>
      <c r="J21" s="33">
        <v>35</v>
      </c>
      <c r="K21" s="33">
        <v>29</v>
      </c>
      <c r="L21" s="33">
        <v>53</v>
      </c>
      <c r="M21" s="33">
        <v>17</v>
      </c>
      <c r="N21" s="33">
        <v>15</v>
      </c>
      <c r="O21" s="33">
        <v>20</v>
      </c>
      <c r="P21" s="33">
        <v>45</v>
      </c>
      <c r="Q21" s="33">
        <v>19</v>
      </c>
      <c r="R21" s="33">
        <v>13</v>
      </c>
      <c r="S21" s="34"/>
      <c r="T21" s="34"/>
      <c r="U21" s="33">
        <v>18</v>
      </c>
      <c r="V21" s="33">
        <v>22</v>
      </c>
      <c r="W21" s="33">
        <v>26</v>
      </c>
      <c r="X21" s="33">
        <v>32</v>
      </c>
      <c r="Y21" s="33">
        <v>25</v>
      </c>
      <c r="Z21" s="33">
        <v>35</v>
      </c>
      <c r="AA21" s="34"/>
      <c r="AB21" s="34"/>
      <c r="AC21" s="33">
        <v>18</v>
      </c>
      <c r="AD21" s="33">
        <v>35</v>
      </c>
      <c r="AE21" s="33">
        <v>17</v>
      </c>
      <c r="AF21" s="33">
        <v>37</v>
      </c>
      <c r="AG21" s="33">
        <v>29</v>
      </c>
      <c r="AH21" s="33">
        <v>22</v>
      </c>
      <c r="AI21" s="33">
        <v>16</v>
      </c>
      <c r="AJ21" s="33">
        <v>15</v>
      </c>
      <c r="AK21" s="33">
        <v>23</v>
      </c>
      <c r="AL21" s="33">
        <v>25</v>
      </c>
      <c r="AM21" s="33">
        <v>19</v>
      </c>
      <c r="AN21" s="33">
        <v>35</v>
      </c>
      <c r="AO21" s="32">
        <f t="shared" si="0"/>
        <v>873</v>
      </c>
      <c r="AP21" s="26">
        <f t="shared" si="1"/>
        <v>51.352941176470587</v>
      </c>
    </row>
    <row r="22" spans="1:42" x14ac:dyDescent="0.25">
      <c r="A22" s="3">
        <v>14</v>
      </c>
      <c r="B22" s="2" t="s">
        <v>122</v>
      </c>
      <c r="C22" s="33">
        <v>28</v>
      </c>
      <c r="D22" s="33">
        <v>36</v>
      </c>
      <c r="E22" s="33">
        <v>27</v>
      </c>
      <c r="F22" s="33">
        <v>56</v>
      </c>
      <c r="G22" s="33">
        <v>25</v>
      </c>
      <c r="H22" s="33">
        <v>29</v>
      </c>
      <c r="I22" s="33">
        <v>17</v>
      </c>
      <c r="J22" s="33">
        <v>30</v>
      </c>
      <c r="K22" s="33">
        <v>21</v>
      </c>
      <c r="L22" s="33">
        <v>34</v>
      </c>
      <c r="M22" s="33">
        <v>18</v>
      </c>
      <c r="N22" s="33">
        <v>12</v>
      </c>
      <c r="O22" s="33">
        <v>22</v>
      </c>
      <c r="P22" s="33">
        <v>28</v>
      </c>
      <c r="Q22" s="33">
        <v>22</v>
      </c>
      <c r="R22" s="33">
        <v>21</v>
      </c>
      <c r="S22" s="34"/>
      <c r="T22" s="34"/>
      <c r="U22" s="33">
        <v>20</v>
      </c>
      <c r="V22" s="33">
        <v>12</v>
      </c>
      <c r="W22" s="33">
        <v>27</v>
      </c>
      <c r="X22" s="33">
        <v>33</v>
      </c>
      <c r="Y22" s="33">
        <v>26</v>
      </c>
      <c r="Z22" s="33">
        <v>30</v>
      </c>
      <c r="AA22" s="34"/>
      <c r="AB22" s="34"/>
      <c r="AC22" s="33">
        <v>16</v>
      </c>
      <c r="AD22" s="33">
        <v>24</v>
      </c>
      <c r="AE22" s="33">
        <v>19</v>
      </c>
      <c r="AF22" s="33">
        <v>40</v>
      </c>
      <c r="AG22" s="33">
        <v>28</v>
      </c>
      <c r="AH22" s="33">
        <v>18</v>
      </c>
      <c r="AI22" s="33">
        <v>17</v>
      </c>
      <c r="AJ22" s="33">
        <v>15</v>
      </c>
      <c r="AK22" s="33">
        <v>21</v>
      </c>
      <c r="AL22" s="33">
        <v>19</v>
      </c>
      <c r="AM22" s="33">
        <v>21</v>
      </c>
      <c r="AN22" s="33">
        <v>41</v>
      </c>
      <c r="AO22" s="32">
        <f t="shared" si="0"/>
        <v>853</v>
      </c>
      <c r="AP22" s="26">
        <f t="shared" si="1"/>
        <v>50.176470588235297</v>
      </c>
    </row>
    <row r="23" spans="1:42" x14ac:dyDescent="0.25">
      <c r="A23" s="3">
        <v>15</v>
      </c>
      <c r="B23" s="2" t="s">
        <v>123</v>
      </c>
      <c r="C23" s="33">
        <v>28</v>
      </c>
      <c r="D23" s="33">
        <v>21</v>
      </c>
      <c r="E23" s="33">
        <v>21</v>
      </c>
      <c r="F23" s="33">
        <v>29</v>
      </c>
      <c r="G23" s="33">
        <v>20</v>
      </c>
      <c r="H23" s="33">
        <v>5</v>
      </c>
      <c r="I23" s="33">
        <v>16</v>
      </c>
      <c r="J23" s="33">
        <v>20</v>
      </c>
      <c r="K23" s="33">
        <v>20</v>
      </c>
      <c r="L23" s="33">
        <v>20</v>
      </c>
      <c r="M23" s="33">
        <v>17</v>
      </c>
      <c r="N23" s="33">
        <v>12</v>
      </c>
      <c r="O23" s="33">
        <v>18</v>
      </c>
      <c r="P23" s="33">
        <v>16</v>
      </c>
      <c r="Q23" s="33">
        <v>20</v>
      </c>
      <c r="R23" s="33">
        <v>20</v>
      </c>
      <c r="S23" s="34"/>
      <c r="T23" s="34"/>
      <c r="U23" s="33">
        <v>13</v>
      </c>
      <c r="V23" s="33">
        <v>32</v>
      </c>
      <c r="W23" s="33">
        <v>25</v>
      </c>
      <c r="X23" s="33">
        <v>26</v>
      </c>
      <c r="Y23" s="33">
        <v>20</v>
      </c>
      <c r="Z23" s="33">
        <v>28</v>
      </c>
      <c r="AA23" s="34"/>
      <c r="AB23" s="34"/>
      <c r="AC23" s="33">
        <v>16</v>
      </c>
      <c r="AD23" s="33">
        <v>24</v>
      </c>
      <c r="AE23" s="33">
        <v>19</v>
      </c>
      <c r="AF23" s="33">
        <v>10</v>
      </c>
      <c r="AG23" s="33">
        <v>29</v>
      </c>
      <c r="AH23" s="33">
        <v>0</v>
      </c>
      <c r="AI23" s="33">
        <v>13</v>
      </c>
      <c r="AJ23" s="33">
        <v>5</v>
      </c>
      <c r="AK23" s="33">
        <v>19</v>
      </c>
      <c r="AL23" s="33">
        <v>8</v>
      </c>
      <c r="AM23" s="33">
        <v>25</v>
      </c>
      <c r="AN23" s="33">
        <v>17</v>
      </c>
      <c r="AO23" s="32">
        <f t="shared" si="0"/>
        <v>632</v>
      </c>
      <c r="AP23" s="26">
        <f t="shared" si="1"/>
        <v>37.176470588235297</v>
      </c>
    </row>
    <row r="24" spans="1:42" x14ac:dyDescent="0.25">
      <c r="A24" s="3">
        <v>16</v>
      </c>
      <c r="B24" s="2" t="s">
        <v>124</v>
      </c>
      <c r="C24" s="33">
        <v>28</v>
      </c>
      <c r="D24" s="33">
        <v>57</v>
      </c>
      <c r="E24" s="33">
        <v>25</v>
      </c>
      <c r="F24" s="33">
        <v>60</v>
      </c>
      <c r="G24" s="33">
        <v>22</v>
      </c>
      <c r="H24" s="33">
        <v>39</v>
      </c>
      <c r="I24" s="33">
        <v>19</v>
      </c>
      <c r="J24" s="33">
        <v>15</v>
      </c>
      <c r="K24" s="33">
        <v>24</v>
      </c>
      <c r="L24" s="33">
        <v>40</v>
      </c>
      <c r="M24" s="33">
        <v>23</v>
      </c>
      <c r="N24" s="33">
        <v>55</v>
      </c>
      <c r="O24" s="33">
        <v>22</v>
      </c>
      <c r="P24" s="33">
        <v>43</v>
      </c>
      <c r="Q24" s="33">
        <v>29</v>
      </c>
      <c r="R24" s="33">
        <v>33</v>
      </c>
      <c r="S24" s="34"/>
      <c r="T24" s="34"/>
      <c r="U24" s="33">
        <v>21</v>
      </c>
      <c r="V24" s="33">
        <v>46</v>
      </c>
      <c r="W24" s="33">
        <v>29</v>
      </c>
      <c r="X24" s="33">
        <v>50</v>
      </c>
      <c r="Y24" s="33">
        <v>25</v>
      </c>
      <c r="Z24" s="33">
        <v>40</v>
      </c>
      <c r="AA24" s="34"/>
      <c r="AB24" s="34"/>
      <c r="AC24" s="33">
        <v>20</v>
      </c>
      <c r="AD24" s="33">
        <v>52</v>
      </c>
      <c r="AE24" s="33">
        <v>12</v>
      </c>
      <c r="AF24" s="33">
        <v>58</v>
      </c>
      <c r="AG24" s="33">
        <v>27</v>
      </c>
      <c r="AH24" s="33">
        <v>30</v>
      </c>
      <c r="AI24" s="33">
        <v>16</v>
      </c>
      <c r="AJ24" s="33">
        <v>17</v>
      </c>
      <c r="AK24" s="33">
        <v>21</v>
      </c>
      <c r="AL24" s="33">
        <v>47</v>
      </c>
      <c r="AM24" s="33">
        <v>24</v>
      </c>
      <c r="AN24" s="33">
        <v>52</v>
      </c>
      <c r="AO24" s="32">
        <f t="shared" si="0"/>
        <v>1121</v>
      </c>
      <c r="AP24" s="26">
        <f t="shared" si="1"/>
        <v>65.941176470588232</v>
      </c>
    </row>
    <row r="25" spans="1:42" x14ac:dyDescent="0.25">
      <c r="A25" s="3">
        <v>17</v>
      </c>
      <c r="B25" s="2" t="s">
        <v>125</v>
      </c>
      <c r="C25" s="33">
        <v>28</v>
      </c>
      <c r="D25" s="33">
        <v>26</v>
      </c>
      <c r="E25" s="33">
        <v>28</v>
      </c>
      <c r="F25" s="33">
        <v>45</v>
      </c>
      <c r="G25" s="33">
        <v>23</v>
      </c>
      <c r="H25" s="33">
        <v>39</v>
      </c>
      <c r="I25" s="33">
        <v>20</v>
      </c>
      <c r="J25" s="33">
        <v>38</v>
      </c>
      <c r="K25" s="33">
        <v>20</v>
      </c>
      <c r="L25" s="33">
        <v>20</v>
      </c>
      <c r="M25" s="33">
        <v>17</v>
      </c>
      <c r="N25" s="33">
        <v>10</v>
      </c>
      <c r="O25" s="33">
        <v>28</v>
      </c>
      <c r="P25" s="33">
        <v>34</v>
      </c>
      <c r="Q25" s="33">
        <v>9</v>
      </c>
      <c r="R25" s="33">
        <v>25</v>
      </c>
      <c r="S25" s="34"/>
      <c r="T25" s="34"/>
      <c r="U25" s="33">
        <v>20</v>
      </c>
      <c r="V25" s="33">
        <v>30</v>
      </c>
      <c r="W25" s="33">
        <v>20</v>
      </c>
      <c r="X25" s="33">
        <v>9</v>
      </c>
      <c r="Y25" s="33">
        <v>22</v>
      </c>
      <c r="Z25" s="33">
        <v>38</v>
      </c>
      <c r="AA25" s="34"/>
      <c r="AB25" s="34"/>
      <c r="AC25" s="33">
        <v>16</v>
      </c>
      <c r="AD25" s="33">
        <v>24</v>
      </c>
      <c r="AE25" s="33">
        <v>19</v>
      </c>
      <c r="AF25" s="33">
        <v>17</v>
      </c>
      <c r="AG25" s="33">
        <v>28</v>
      </c>
      <c r="AH25" s="33">
        <v>26</v>
      </c>
      <c r="AI25" s="33">
        <v>19</v>
      </c>
      <c r="AJ25" s="33">
        <v>31</v>
      </c>
      <c r="AK25" s="33">
        <v>13</v>
      </c>
      <c r="AL25" s="33">
        <v>28</v>
      </c>
      <c r="AM25" s="33">
        <v>11</v>
      </c>
      <c r="AN25" s="33">
        <v>21</v>
      </c>
      <c r="AO25" s="32">
        <f t="shared" si="0"/>
        <v>802</v>
      </c>
      <c r="AP25" s="26">
        <f t="shared" si="1"/>
        <v>47.176470588235297</v>
      </c>
    </row>
    <row r="26" spans="1:42" x14ac:dyDescent="0.25">
      <c r="A26" s="3">
        <v>18</v>
      </c>
      <c r="B26" s="2" t="s">
        <v>126</v>
      </c>
      <c r="C26" s="33">
        <v>28</v>
      </c>
      <c r="D26" s="33">
        <v>55</v>
      </c>
      <c r="E26" s="33">
        <v>29</v>
      </c>
      <c r="F26" s="33">
        <v>63</v>
      </c>
      <c r="G26" s="33">
        <v>23</v>
      </c>
      <c r="H26" s="33">
        <v>34</v>
      </c>
      <c r="I26" s="33">
        <v>22</v>
      </c>
      <c r="J26" s="33">
        <v>40</v>
      </c>
      <c r="K26" s="33">
        <v>25</v>
      </c>
      <c r="L26" s="33">
        <v>45</v>
      </c>
      <c r="M26" s="33">
        <v>28</v>
      </c>
      <c r="N26" s="33">
        <v>32</v>
      </c>
      <c r="O26" s="33">
        <v>19</v>
      </c>
      <c r="P26" s="33">
        <v>42</v>
      </c>
      <c r="Q26" s="33">
        <v>30</v>
      </c>
      <c r="R26" s="33">
        <v>46</v>
      </c>
      <c r="S26" s="34"/>
      <c r="T26" s="34"/>
      <c r="U26" s="33">
        <v>19</v>
      </c>
      <c r="V26" s="33">
        <v>36</v>
      </c>
      <c r="W26" s="33">
        <v>24</v>
      </c>
      <c r="X26" s="33">
        <v>52</v>
      </c>
      <c r="Y26" s="33">
        <v>25</v>
      </c>
      <c r="Z26" s="33">
        <v>40</v>
      </c>
      <c r="AA26" s="34"/>
      <c r="AB26" s="34"/>
      <c r="AC26" s="33">
        <v>22</v>
      </c>
      <c r="AD26" s="33">
        <v>50</v>
      </c>
      <c r="AE26" s="33">
        <v>23</v>
      </c>
      <c r="AF26" s="33">
        <v>40</v>
      </c>
      <c r="AG26" s="33">
        <v>27</v>
      </c>
      <c r="AH26" s="33">
        <v>45</v>
      </c>
      <c r="AI26" s="33">
        <v>20</v>
      </c>
      <c r="AJ26" s="33">
        <v>18</v>
      </c>
      <c r="AK26" s="33">
        <v>24</v>
      </c>
      <c r="AL26" s="33">
        <v>48</v>
      </c>
      <c r="AM26" s="33">
        <v>29</v>
      </c>
      <c r="AN26" s="33">
        <v>36</v>
      </c>
      <c r="AO26" s="32">
        <f t="shared" si="0"/>
        <v>1139</v>
      </c>
      <c r="AP26" s="26">
        <f t="shared" si="1"/>
        <v>67</v>
      </c>
    </row>
    <row r="27" spans="1:42" x14ac:dyDescent="0.25">
      <c r="A27" s="3">
        <v>19</v>
      </c>
      <c r="B27" s="2" t="s">
        <v>127</v>
      </c>
      <c r="C27" s="33">
        <v>28</v>
      </c>
      <c r="D27" s="33">
        <v>26</v>
      </c>
      <c r="E27" s="33">
        <v>25</v>
      </c>
      <c r="F27" s="33">
        <v>33</v>
      </c>
      <c r="G27" s="33">
        <v>28</v>
      </c>
      <c r="H27" s="33">
        <v>19</v>
      </c>
      <c r="I27" s="33">
        <v>19</v>
      </c>
      <c r="J27" s="33">
        <v>32</v>
      </c>
      <c r="K27" s="33">
        <v>28</v>
      </c>
      <c r="L27" s="33">
        <v>22</v>
      </c>
      <c r="M27" s="33">
        <v>16</v>
      </c>
      <c r="N27" s="33">
        <v>24</v>
      </c>
      <c r="O27" s="33">
        <v>22</v>
      </c>
      <c r="P27" s="33">
        <v>21</v>
      </c>
      <c r="Q27" s="33">
        <v>8</v>
      </c>
      <c r="R27" s="33">
        <v>14</v>
      </c>
      <c r="S27" s="34"/>
      <c r="T27" s="34"/>
      <c r="U27" s="33">
        <v>22</v>
      </c>
      <c r="V27" s="33">
        <v>26</v>
      </c>
      <c r="W27" s="33">
        <v>23</v>
      </c>
      <c r="X27" s="33">
        <v>30</v>
      </c>
      <c r="Y27" s="33">
        <v>26</v>
      </c>
      <c r="Z27" s="33">
        <v>36</v>
      </c>
      <c r="AA27" s="34"/>
      <c r="AB27" s="34"/>
      <c r="AC27" s="33">
        <v>17</v>
      </c>
      <c r="AD27" s="33">
        <v>10</v>
      </c>
      <c r="AE27" s="33">
        <v>22</v>
      </c>
      <c r="AF27" s="33">
        <v>59</v>
      </c>
      <c r="AG27" s="33">
        <v>27</v>
      </c>
      <c r="AH27" s="33">
        <v>30</v>
      </c>
      <c r="AI27" s="33">
        <v>16</v>
      </c>
      <c r="AJ27" s="33">
        <v>12</v>
      </c>
      <c r="AK27" s="33">
        <v>23</v>
      </c>
      <c r="AL27" s="33">
        <v>23</v>
      </c>
      <c r="AM27" s="33">
        <v>28</v>
      </c>
      <c r="AN27" s="33">
        <v>40</v>
      </c>
      <c r="AO27" s="32">
        <f t="shared" si="0"/>
        <v>835</v>
      </c>
      <c r="AP27" s="26">
        <f t="shared" si="1"/>
        <v>49.117647058823529</v>
      </c>
    </row>
    <row r="28" spans="1:42" x14ac:dyDescent="0.25">
      <c r="A28" s="3">
        <v>20</v>
      </c>
      <c r="B28" s="2" t="s">
        <v>128</v>
      </c>
      <c r="C28" s="33">
        <v>28</v>
      </c>
      <c r="D28" s="33">
        <v>68</v>
      </c>
      <c r="E28" s="33">
        <v>30</v>
      </c>
      <c r="F28" s="33">
        <v>55</v>
      </c>
      <c r="G28" s="33">
        <v>29</v>
      </c>
      <c r="H28" s="33">
        <v>63</v>
      </c>
      <c r="I28" s="33">
        <v>24</v>
      </c>
      <c r="J28" s="33">
        <v>52</v>
      </c>
      <c r="K28" s="33">
        <v>23</v>
      </c>
      <c r="L28" s="33">
        <v>30</v>
      </c>
      <c r="M28" s="33">
        <v>27</v>
      </c>
      <c r="N28" s="33">
        <v>33</v>
      </c>
      <c r="O28" s="33">
        <v>20</v>
      </c>
      <c r="P28" s="33">
        <v>36</v>
      </c>
      <c r="Q28" s="33">
        <v>22</v>
      </c>
      <c r="R28" s="33">
        <v>24</v>
      </c>
      <c r="S28" s="34"/>
      <c r="T28" s="34"/>
      <c r="U28" s="33">
        <v>14</v>
      </c>
      <c r="V28" s="33">
        <v>23</v>
      </c>
      <c r="W28" s="33">
        <v>29</v>
      </c>
      <c r="X28" s="33">
        <v>46</v>
      </c>
      <c r="Y28" s="33">
        <v>25</v>
      </c>
      <c r="Z28" s="33">
        <v>50</v>
      </c>
      <c r="AA28" s="34"/>
      <c r="AB28" s="34"/>
      <c r="AC28" s="33">
        <v>25</v>
      </c>
      <c r="AD28" s="33">
        <v>54</v>
      </c>
      <c r="AE28" s="33">
        <v>25</v>
      </c>
      <c r="AF28" s="33">
        <v>60</v>
      </c>
      <c r="AG28" s="33">
        <v>29</v>
      </c>
      <c r="AH28" s="33">
        <v>53</v>
      </c>
      <c r="AI28" s="33">
        <v>19</v>
      </c>
      <c r="AJ28" s="33">
        <v>34</v>
      </c>
      <c r="AK28" s="33">
        <v>21</v>
      </c>
      <c r="AL28" s="33">
        <v>40</v>
      </c>
      <c r="AM28" s="33">
        <v>26</v>
      </c>
      <c r="AN28" s="33">
        <v>37</v>
      </c>
      <c r="AO28" s="32">
        <f t="shared" si="0"/>
        <v>1174</v>
      </c>
      <c r="AP28" s="26">
        <f t="shared" si="1"/>
        <v>69.058823529411768</v>
      </c>
    </row>
    <row r="29" spans="1:42" x14ac:dyDescent="0.25">
      <c r="A29" s="3">
        <v>21</v>
      </c>
      <c r="B29" s="2" t="s">
        <v>129</v>
      </c>
      <c r="C29" s="33">
        <v>28</v>
      </c>
      <c r="D29" s="33">
        <v>62</v>
      </c>
      <c r="E29" s="33">
        <v>27</v>
      </c>
      <c r="F29" s="33">
        <v>47</v>
      </c>
      <c r="G29" s="33">
        <v>28</v>
      </c>
      <c r="H29" s="33">
        <v>54</v>
      </c>
      <c r="I29" s="33">
        <v>25</v>
      </c>
      <c r="J29" s="33">
        <v>30</v>
      </c>
      <c r="K29" s="33">
        <v>23</v>
      </c>
      <c r="L29" s="33">
        <v>45</v>
      </c>
      <c r="M29" s="33">
        <v>23</v>
      </c>
      <c r="N29" s="33">
        <v>12</v>
      </c>
      <c r="O29" s="33">
        <v>23</v>
      </c>
      <c r="P29" s="33">
        <v>8</v>
      </c>
      <c r="Q29" s="33">
        <v>24</v>
      </c>
      <c r="R29" s="33">
        <v>16</v>
      </c>
      <c r="S29" s="34"/>
      <c r="T29" s="34"/>
      <c r="U29" s="33">
        <v>11</v>
      </c>
      <c r="V29" s="33">
        <v>61</v>
      </c>
      <c r="W29" s="33">
        <v>27</v>
      </c>
      <c r="X29" s="33">
        <v>49</v>
      </c>
      <c r="Y29" s="33">
        <v>25</v>
      </c>
      <c r="Z29" s="33">
        <v>25</v>
      </c>
      <c r="AA29" s="34"/>
      <c r="AB29" s="34"/>
      <c r="AC29" s="33">
        <v>22</v>
      </c>
      <c r="AD29" s="33">
        <v>34</v>
      </c>
      <c r="AE29" s="33">
        <v>19</v>
      </c>
      <c r="AF29" s="33">
        <v>38</v>
      </c>
      <c r="AG29" s="33">
        <v>27</v>
      </c>
      <c r="AH29" s="33">
        <v>45</v>
      </c>
      <c r="AI29" s="33">
        <v>17</v>
      </c>
      <c r="AJ29" s="33">
        <v>23</v>
      </c>
      <c r="AK29" s="33">
        <v>23</v>
      </c>
      <c r="AL29" s="33">
        <v>27</v>
      </c>
      <c r="AM29" s="33">
        <v>26</v>
      </c>
      <c r="AN29" s="33">
        <v>54</v>
      </c>
      <c r="AO29" s="32">
        <f t="shared" si="0"/>
        <v>1028</v>
      </c>
      <c r="AP29" s="26">
        <f t="shared" si="1"/>
        <v>60.470588235294116</v>
      </c>
    </row>
    <row r="30" spans="1:42" x14ac:dyDescent="0.25">
      <c r="A30" s="3">
        <v>22</v>
      </c>
      <c r="B30" s="2" t="s">
        <v>130</v>
      </c>
      <c r="C30" s="33">
        <v>28</v>
      </c>
      <c r="D30" s="33">
        <v>28</v>
      </c>
      <c r="E30" s="33">
        <v>28</v>
      </c>
      <c r="F30" s="33">
        <v>28</v>
      </c>
      <c r="G30" s="33">
        <v>28</v>
      </c>
      <c r="H30" s="33">
        <v>43</v>
      </c>
      <c r="I30" s="33">
        <v>17</v>
      </c>
      <c r="J30" s="33">
        <v>16</v>
      </c>
      <c r="K30" s="33">
        <v>24</v>
      </c>
      <c r="L30" s="33">
        <v>30</v>
      </c>
      <c r="M30" s="33">
        <v>17</v>
      </c>
      <c r="N30" s="33">
        <v>29</v>
      </c>
      <c r="O30" s="33">
        <v>21</v>
      </c>
      <c r="P30" s="33">
        <v>20</v>
      </c>
      <c r="Q30" s="33">
        <v>21</v>
      </c>
      <c r="R30" s="33">
        <v>15</v>
      </c>
      <c r="S30" s="34"/>
      <c r="T30" s="34"/>
      <c r="U30" s="33">
        <v>30</v>
      </c>
      <c r="V30" s="33">
        <v>38</v>
      </c>
      <c r="W30" s="33">
        <v>23</v>
      </c>
      <c r="X30" s="33">
        <v>27</v>
      </c>
      <c r="Y30" s="33">
        <v>20</v>
      </c>
      <c r="Z30" s="33">
        <v>20</v>
      </c>
      <c r="AA30" s="34"/>
      <c r="AB30" s="34"/>
      <c r="AC30" s="33">
        <v>17</v>
      </c>
      <c r="AD30" s="33">
        <v>22</v>
      </c>
      <c r="AE30" s="33">
        <v>21</v>
      </c>
      <c r="AF30" s="33">
        <v>40</v>
      </c>
      <c r="AG30" s="33">
        <v>26</v>
      </c>
      <c r="AH30" s="33">
        <v>20</v>
      </c>
      <c r="AI30" s="33">
        <v>21</v>
      </c>
      <c r="AJ30" s="33">
        <v>8</v>
      </c>
      <c r="AK30" s="33">
        <v>19</v>
      </c>
      <c r="AL30" s="33">
        <v>14</v>
      </c>
      <c r="AM30" s="33">
        <v>21</v>
      </c>
      <c r="AN30" s="33">
        <v>60</v>
      </c>
      <c r="AO30" s="32">
        <f t="shared" si="0"/>
        <v>840</v>
      </c>
      <c r="AP30" s="26">
        <f t="shared" si="1"/>
        <v>49.411764705882355</v>
      </c>
    </row>
    <row r="31" spans="1:42" x14ac:dyDescent="0.25">
      <c r="A31" s="3">
        <v>23</v>
      </c>
      <c r="B31" s="2"/>
      <c r="C31" s="39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4"/>
      <c r="T31" s="34"/>
      <c r="U31" s="33"/>
      <c r="V31" s="33"/>
      <c r="W31" s="33"/>
      <c r="X31" s="33"/>
      <c r="Y31" s="33"/>
      <c r="Z31" s="33"/>
      <c r="AA31" s="34"/>
      <c r="AB31" s="34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2">
        <f t="shared" si="0"/>
        <v>0</v>
      </c>
      <c r="AP31" s="26">
        <f t="shared" si="1"/>
        <v>0</v>
      </c>
    </row>
    <row r="32" spans="1:42" x14ac:dyDescent="0.25">
      <c r="A32" s="3">
        <v>24</v>
      </c>
      <c r="B32" s="2"/>
      <c r="C32" s="39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4"/>
      <c r="T32" s="34"/>
      <c r="U32" s="33"/>
      <c r="V32" s="33"/>
      <c r="W32" s="33"/>
      <c r="X32" s="33"/>
      <c r="Y32" s="33"/>
      <c r="Z32" s="33"/>
      <c r="AA32" s="34"/>
      <c r="AB32" s="34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2">
        <f t="shared" si="0"/>
        <v>0</v>
      </c>
      <c r="AP32" s="26">
        <f t="shared" si="1"/>
        <v>0</v>
      </c>
    </row>
    <row r="33" spans="1:42" x14ac:dyDescent="0.25">
      <c r="A33" s="1">
        <v>25</v>
      </c>
      <c r="B33" s="2"/>
      <c r="C33" s="39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4"/>
      <c r="T33" s="34"/>
      <c r="U33" s="33"/>
      <c r="V33" s="33"/>
      <c r="W33" s="33"/>
      <c r="X33" s="33"/>
      <c r="Y33" s="33"/>
      <c r="Z33" s="33"/>
      <c r="AA33" s="34"/>
      <c r="AB33" s="34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71">
        <f t="shared" si="0"/>
        <v>0</v>
      </c>
      <c r="AP33" s="26">
        <f t="shared" si="1"/>
        <v>0</v>
      </c>
    </row>
    <row r="34" spans="1:42" x14ac:dyDescent="0.25">
      <c r="A34" s="1">
        <v>26</v>
      </c>
      <c r="B34" s="2"/>
      <c r="C34" s="39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4"/>
      <c r="T34" s="34"/>
      <c r="U34" s="33"/>
      <c r="V34" s="33"/>
      <c r="W34" s="33"/>
      <c r="X34" s="33"/>
      <c r="Y34" s="33"/>
      <c r="Z34" s="33"/>
      <c r="AA34" s="34"/>
      <c r="AB34" s="34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71">
        <f t="shared" si="0"/>
        <v>0</v>
      </c>
      <c r="AP34" s="26">
        <f t="shared" si="1"/>
        <v>0</v>
      </c>
    </row>
    <row r="35" spans="1:42" x14ac:dyDescent="0.25">
      <c r="A35" s="1">
        <v>27</v>
      </c>
      <c r="B35" s="2"/>
      <c r="C35" s="39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4"/>
      <c r="T35" s="34"/>
      <c r="U35" s="33"/>
      <c r="V35" s="33"/>
      <c r="W35" s="33"/>
      <c r="X35" s="33"/>
      <c r="Y35" s="33"/>
      <c r="Z35" s="33"/>
      <c r="AA35" s="34"/>
      <c r="AB35" s="34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71">
        <f t="shared" si="0"/>
        <v>0</v>
      </c>
      <c r="AP35" s="26">
        <f t="shared" si="1"/>
        <v>0</v>
      </c>
    </row>
    <row r="36" spans="1:42" x14ac:dyDescent="0.25">
      <c r="A36" s="1">
        <v>28</v>
      </c>
      <c r="B36" s="2"/>
      <c r="C36" s="39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4"/>
      <c r="T36" s="34"/>
      <c r="U36" s="33"/>
      <c r="V36" s="33"/>
      <c r="W36" s="33"/>
      <c r="X36" s="33"/>
      <c r="Y36" s="33"/>
      <c r="Z36" s="33"/>
      <c r="AA36" s="34"/>
      <c r="AB36" s="34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71">
        <f t="shared" si="0"/>
        <v>0</v>
      </c>
      <c r="AP36" s="26">
        <f t="shared" si="1"/>
        <v>0</v>
      </c>
    </row>
    <row r="37" spans="1:42" x14ac:dyDescent="0.25">
      <c r="A37" s="1">
        <v>29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71">
        <f t="shared" si="0"/>
        <v>0</v>
      </c>
      <c r="AP37" s="26">
        <f t="shared" si="1"/>
        <v>0</v>
      </c>
    </row>
    <row r="38" spans="1:42" x14ac:dyDescent="0.25">
      <c r="A38" s="1">
        <v>30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71">
        <f t="shared" si="0"/>
        <v>0</v>
      </c>
      <c r="AP38" s="26">
        <f t="shared" si="1"/>
        <v>0</v>
      </c>
    </row>
    <row r="39" spans="1:42" x14ac:dyDescent="0.25">
      <c r="A39" s="1">
        <v>31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71">
        <f t="shared" si="0"/>
        <v>0</v>
      </c>
      <c r="AP39" s="26">
        <f t="shared" si="1"/>
        <v>0</v>
      </c>
    </row>
    <row r="40" spans="1:42" x14ac:dyDescent="0.25">
      <c r="A40" s="1">
        <v>32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71">
        <f t="shared" si="0"/>
        <v>0</v>
      </c>
      <c r="AP40" s="26">
        <f t="shared" si="1"/>
        <v>0</v>
      </c>
    </row>
    <row r="41" spans="1:42" x14ac:dyDescent="0.25">
      <c r="A41" s="1">
        <v>33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71">
        <f t="shared" si="0"/>
        <v>0</v>
      </c>
      <c r="AP41" s="26">
        <f t="shared" si="1"/>
        <v>0</v>
      </c>
    </row>
    <row r="42" spans="1:42" x14ac:dyDescent="0.25">
      <c r="A42" s="1">
        <v>34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71">
        <f t="shared" si="0"/>
        <v>0</v>
      </c>
      <c r="AP42" s="26">
        <f t="shared" si="1"/>
        <v>0</v>
      </c>
    </row>
    <row r="43" spans="1:42" x14ac:dyDescent="0.25">
      <c r="A43" s="1">
        <v>35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71">
        <f t="shared" si="0"/>
        <v>0</v>
      </c>
      <c r="AP43" s="26">
        <f t="shared" si="1"/>
        <v>0</v>
      </c>
    </row>
    <row r="44" spans="1:42" x14ac:dyDescent="0.25">
      <c r="A44" s="1">
        <v>36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71">
        <f t="shared" si="0"/>
        <v>0</v>
      </c>
      <c r="AP44" s="26">
        <f t="shared" si="1"/>
        <v>0</v>
      </c>
    </row>
    <row r="45" spans="1:42" x14ac:dyDescent="0.25">
      <c r="A45" s="1">
        <v>37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71">
        <f t="shared" si="0"/>
        <v>0</v>
      </c>
      <c r="AP45" s="26">
        <f t="shared" si="1"/>
        <v>0</v>
      </c>
    </row>
    <row r="46" spans="1:42" x14ac:dyDescent="0.25">
      <c r="A46" s="1">
        <v>38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71">
        <f t="shared" si="0"/>
        <v>0</v>
      </c>
      <c r="AP46" s="26">
        <f t="shared" si="1"/>
        <v>0</v>
      </c>
    </row>
    <row r="47" spans="1:42" x14ac:dyDescent="0.25">
      <c r="A47" s="1">
        <v>39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71">
        <f t="shared" si="0"/>
        <v>0</v>
      </c>
      <c r="AP47" s="26">
        <f t="shared" si="1"/>
        <v>0</v>
      </c>
    </row>
    <row r="48" spans="1:42" x14ac:dyDescent="0.25">
      <c r="A48" s="1">
        <v>40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71">
        <f t="shared" si="0"/>
        <v>0</v>
      </c>
      <c r="AP48" s="26">
        <f t="shared" si="1"/>
        <v>0</v>
      </c>
    </row>
  </sheetData>
  <sheetProtection algorithmName="SHA-512" hashValue="9DUYk0+mkpu2rkMjmEEuWrdse9E3oHVAkgSUshLAMcd7W+n7JmcgMYUSgayuZvVO8DM7LZmcmensdeUeGJUAHw==" saltValue="qhyx+3E5x7qr0z4JC/NhaQ==" spinCount="100000" sheet="1" objects="1" scenarios="1"/>
  <sortState xmlns:xlrd2="http://schemas.microsoft.com/office/spreadsheetml/2017/richdata2" ref="B8:T36">
    <sortCondition ref="B8:B36"/>
  </sortState>
  <mergeCells count="30">
    <mergeCell ref="A1:AP2"/>
    <mergeCell ref="AO7:AO8"/>
    <mergeCell ref="AP7:AP8"/>
    <mergeCell ref="C4:AP4"/>
    <mergeCell ref="A3:AP3"/>
    <mergeCell ref="AK7:AL7"/>
    <mergeCell ref="AA7:AB7"/>
    <mergeCell ref="AM7:AN7"/>
    <mergeCell ref="Y7:Z7"/>
    <mergeCell ref="AC7:AD7"/>
    <mergeCell ref="AE7:AF7"/>
    <mergeCell ref="AG7:AH7"/>
    <mergeCell ref="AI7:AJ7"/>
    <mergeCell ref="S7:T7"/>
    <mergeCell ref="W7:X7"/>
    <mergeCell ref="I7:J7"/>
    <mergeCell ref="A4:B4"/>
    <mergeCell ref="C7:D7"/>
    <mergeCell ref="E7:F7"/>
    <mergeCell ref="A7:A8"/>
    <mergeCell ref="B5:B6"/>
    <mergeCell ref="A5:A6"/>
    <mergeCell ref="U7:V7"/>
    <mergeCell ref="G7:H7"/>
    <mergeCell ref="C5:AN6"/>
    <mergeCell ref="AO5:AP6"/>
    <mergeCell ref="K7:L7"/>
    <mergeCell ref="M7:N7"/>
    <mergeCell ref="O7:P7"/>
    <mergeCell ref="Q7:R7"/>
  </mergeCells>
  <dataValidations count="2">
    <dataValidation type="whole" allowBlank="1" showInputMessage="1" showErrorMessage="1" errorTitle="Data Range Error" error="Value should be between 0 and 30" sqref="K9:K48 M9:M48 I9:I48 O9:O48 Q9:Q48 S9:S48 U9:U48 E9:E48 G9:G48 C9:C48 W9:W48 Y9:Y48 AA9:AA48 AC9:AC48 AE9:AE48 AG9:AG48 AI9:AI48 AK9:AK48 AM9:AM48" xr:uid="{00000000-0002-0000-0000-000000000000}">
      <formula1>0</formula1>
      <formula2>30</formula2>
    </dataValidation>
    <dataValidation type="whole" allowBlank="1" showInputMessage="1" showErrorMessage="1" errorTitle="Data Range Error" error="Value should be between 0 and 70" sqref="T9:T48 V9:V48 X9:X48 J9:J48 L9:L48 N9:N48 P9:P48 R9:R48 D9:D48 F9:F48 H9:H48 Z9:Z48 AB9:AB48 AD9:AD48 AF9:AF48 AH9:AH48 AJ9:AJ48 AL9:AL48 AN9:AN48" xr:uid="{00000000-0002-0000-0000-000001000000}">
      <formula1>0</formula1>
      <formula2>70</formula2>
    </dataValidation>
  </dataValidations>
  <pageMargins left="0.25" right="0.25" top="0.75" bottom="0.75" header="0.3" footer="0.3"/>
  <pageSetup paperSize="9" scale="75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05168-2B0E-44CF-BA35-F4DA533A859C}">
  <sheetPr>
    <tabColor rgb="FF00B050"/>
    <pageSetUpPr fitToPage="1"/>
  </sheetPr>
  <dimension ref="A1:AP48"/>
  <sheetViews>
    <sheetView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M15" sqref="M15"/>
    </sheetView>
  </sheetViews>
  <sheetFormatPr defaultRowHeight="15" x14ac:dyDescent="0.25"/>
  <cols>
    <col min="1" max="1" width="5.28515625" bestFit="1" customWidth="1"/>
    <col min="2" max="2" width="35.28515625" customWidth="1"/>
    <col min="3" max="14" width="3.28515625" bestFit="1" customWidth="1"/>
    <col min="15" max="15" width="3.85546875" customWidth="1"/>
    <col min="16" max="16" width="4.7109375" customWidth="1"/>
    <col min="17" max="26" width="3.28515625" bestFit="1" customWidth="1"/>
    <col min="27" max="28" width="3.28515625" customWidth="1"/>
    <col min="29" max="32" width="3.28515625" bestFit="1" customWidth="1"/>
    <col min="33" max="33" width="4.28515625" customWidth="1"/>
    <col min="34" max="34" width="4.140625" customWidth="1"/>
    <col min="35" max="40" width="3.28515625" bestFit="1" customWidth="1"/>
    <col min="41" max="41" width="8.140625" customWidth="1"/>
    <col min="42" max="42" width="11.85546875" customWidth="1"/>
  </cols>
  <sheetData>
    <row r="1" spans="1:42" ht="15" customHeight="1" x14ac:dyDescent="0.25">
      <c r="A1" s="99" t="s">
        <v>183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</row>
    <row r="2" spans="1:42" ht="15" customHeight="1" x14ac:dyDescent="0.25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</row>
    <row r="3" spans="1:42" ht="18" x14ac:dyDescent="0.25">
      <c r="A3" s="102" t="s">
        <v>184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2"/>
      <c r="AP3" s="102"/>
    </row>
    <row r="4" spans="1:42" ht="15.75" x14ac:dyDescent="0.25">
      <c r="A4" s="95" t="s">
        <v>43</v>
      </c>
      <c r="B4" s="95"/>
      <c r="C4" s="101" t="s">
        <v>108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1"/>
    </row>
    <row r="5" spans="1:42" ht="15" customHeight="1" x14ac:dyDescent="0.25">
      <c r="A5" s="98"/>
      <c r="B5" s="97" t="s">
        <v>164</v>
      </c>
      <c r="C5" s="85" t="s">
        <v>107</v>
      </c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7"/>
      <c r="AO5" s="91" t="s">
        <v>57</v>
      </c>
      <c r="AP5" s="92"/>
    </row>
    <row r="6" spans="1:42" ht="15" customHeight="1" x14ac:dyDescent="0.25">
      <c r="A6" s="98"/>
      <c r="B6" s="97"/>
      <c r="C6" s="88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90"/>
      <c r="AO6" s="93"/>
      <c r="AP6" s="94"/>
    </row>
    <row r="7" spans="1:42" ht="81" customHeight="1" x14ac:dyDescent="0.25">
      <c r="A7" s="96" t="s">
        <v>0</v>
      </c>
      <c r="B7" s="6" t="s">
        <v>42</v>
      </c>
      <c r="C7" s="84" t="s">
        <v>6</v>
      </c>
      <c r="D7" s="84"/>
      <c r="E7" s="83" t="s">
        <v>3</v>
      </c>
      <c r="F7" s="83"/>
      <c r="G7" s="84" t="s">
        <v>4</v>
      </c>
      <c r="H7" s="84"/>
      <c r="I7" s="83" t="s">
        <v>5</v>
      </c>
      <c r="J7" s="83"/>
      <c r="K7" s="84" t="s">
        <v>7</v>
      </c>
      <c r="L7" s="84">
        <v>10</v>
      </c>
      <c r="M7" s="83" t="s">
        <v>8</v>
      </c>
      <c r="N7" s="83">
        <v>12</v>
      </c>
      <c r="O7" s="84" t="s">
        <v>9</v>
      </c>
      <c r="P7" s="84"/>
      <c r="Q7" s="83" t="s">
        <v>10</v>
      </c>
      <c r="R7" s="83"/>
      <c r="S7" s="84" t="s">
        <v>11</v>
      </c>
      <c r="T7" s="84"/>
      <c r="U7" s="83" t="s">
        <v>13</v>
      </c>
      <c r="V7" s="83"/>
      <c r="W7" s="84" t="s">
        <v>14</v>
      </c>
      <c r="X7" s="84"/>
      <c r="Y7" s="83" t="s">
        <v>15</v>
      </c>
      <c r="Z7" s="83"/>
      <c r="AA7" s="84" t="s">
        <v>22</v>
      </c>
      <c r="AB7" s="84"/>
      <c r="AC7" s="83" t="s">
        <v>16</v>
      </c>
      <c r="AD7" s="83"/>
      <c r="AE7" s="84" t="s">
        <v>17</v>
      </c>
      <c r="AF7" s="84"/>
      <c r="AG7" s="83" t="s">
        <v>18</v>
      </c>
      <c r="AH7" s="83"/>
      <c r="AI7" s="84" t="s">
        <v>19</v>
      </c>
      <c r="AJ7" s="84"/>
      <c r="AK7" s="83" t="s">
        <v>20</v>
      </c>
      <c r="AL7" s="83"/>
      <c r="AM7" s="84" t="s">
        <v>21</v>
      </c>
      <c r="AN7" s="84"/>
      <c r="AO7" s="100" t="s">
        <v>30</v>
      </c>
      <c r="AP7" s="84" t="s">
        <v>31</v>
      </c>
    </row>
    <row r="8" spans="1:42" ht="29.25" x14ac:dyDescent="0.25">
      <c r="A8" s="96"/>
      <c r="B8" s="38" t="s">
        <v>12</v>
      </c>
      <c r="C8" s="36" t="s">
        <v>1</v>
      </c>
      <c r="D8" s="35" t="s">
        <v>2</v>
      </c>
      <c r="E8" s="36" t="s">
        <v>1</v>
      </c>
      <c r="F8" s="35" t="s">
        <v>2</v>
      </c>
      <c r="G8" s="36" t="s">
        <v>1</v>
      </c>
      <c r="H8" s="35" t="s">
        <v>2</v>
      </c>
      <c r="I8" s="36" t="s">
        <v>1</v>
      </c>
      <c r="J8" s="35" t="s">
        <v>2</v>
      </c>
      <c r="K8" s="36" t="s">
        <v>1</v>
      </c>
      <c r="L8" s="35" t="s">
        <v>2</v>
      </c>
      <c r="M8" s="36" t="s">
        <v>1</v>
      </c>
      <c r="N8" s="35" t="s">
        <v>2</v>
      </c>
      <c r="O8" s="36" t="s">
        <v>1</v>
      </c>
      <c r="P8" s="35" t="s">
        <v>2</v>
      </c>
      <c r="Q8" s="36" t="s">
        <v>1</v>
      </c>
      <c r="R8" s="35" t="s">
        <v>2</v>
      </c>
      <c r="S8" s="36" t="s">
        <v>1</v>
      </c>
      <c r="T8" s="35" t="s">
        <v>2</v>
      </c>
      <c r="U8" s="36" t="s">
        <v>1</v>
      </c>
      <c r="V8" s="35" t="s">
        <v>2</v>
      </c>
      <c r="W8" s="36" t="s">
        <v>1</v>
      </c>
      <c r="X8" s="35" t="s">
        <v>2</v>
      </c>
      <c r="Y8" s="36" t="s">
        <v>1</v>
      </c>
      <c r="Z8" s="35" t="s">
        <v>2</v>
      </c>
      <c r="AA8" s="36" t="s">
        <v>1</v>
      </c>
      <c r="AB8" s="35" t="s">
        <v>2</v>
      </c>
      <c r="AC8" s="36" t="s">
        <v>1</v>
      </c>
      <c r="AD8" s="35" t="s">
        <v>2</v>
      </c>
      <c r="AE8" s="36" t="s">
        <v>1</v>
      </c>
      <c r="AF8" s="35" t="s">
        <v>2</v>
      </c>
      <c r="AG8" s="36" t="s">
        <v>1</v>
      </c>
      <c r="AH8" s="35" t="s">
        <v>2</v>
      </c>
      <c r="AI8" s="36" t="s">
        <v>1</v>
      </c>
      <c r="AJ8" s="35" t="s">
        <v>2</v>
      </c>
      <c r="AK8" s="36" t="s">
        <v>1</v>
      </c>
      <c r="AL8" s="35" t="s">
        <v>2</v>
      </c>
      <c r="AM8" s="36" t="s">
        <v>1</v>
      </c>
      <c r="AN8" s="35" t="s">
        <v>2</v>
      </c>
      <c r="AO8" s="100"/>
      <c r="AP8" s="84"/>
    </row>
    <row r="9" spans="1:42" x14ac:dyDescent="0.25">
      <c r="A9" s="3">
        <v>1</v>
      </c>
      <c r="B9" s="27" t="str">
        <f>('1st Term'!B9)</f>
        <v>ADAKARAZA SAMUEL</v>
      </c>
      <c r="C9" s="33">
        <v>28</v>
      </c>
      <c r="D9" s="33">
        <v>28</v>
      </c>
      <c r="E9" s="33">
        <v>17</v>
      </c>
      <c r="F9" s="33">
        <v>31</v>
      </c>
      <c r="G9" s="34">
        <v>14</v>
      </c>
      <c r="H9" s="34">
        <v>26</v>
      </c>
      <c r="I9" s="33">
        <v>15</v>
      </c>
      <c r="J9" s="33">
        <v>25</v>
      </c>
      <c r="K9" s="37">
        <v>13</v>
      </c>
      <c r="L9" s="37">
        <v>20</v>
      </c>
      <c r="M9" s="33">
        <v>14</v>
      </c>
      <c r="N9" s="33">
        <v>16</v>
      </c>
      <c r="O9" s="33">
        <v>21</v>
      </c>
      <c r="P9" s="33">
        <v>27</v>
      </c>
      <c r="Q9" s="33">
        <v>14</v>
      </c>
      <c r="R9" s="33">
        <v>26</v>
      </c>
      <c r="S9" s="34"/>
      <c r="T9" s="34"/>
      <c r="U9" s="33">
        <v>17</v>
      </c>
      <c r="V9" s="33">
        <v>41</v>
      </c>
      <c r="W9" s="33">
        <v>16</v>
      </c>
      <c r="X9" s="33">
        <v>21</v>
      </c>
      <c r="Y9" s="33">
        <v>17</v>
      </c>
      <c r="Z9" s="33">
        <v>20</v>
      </c>
      <c r="AA9" s="34"/>
      <c r="AB9" s="34"/>
      <c r="AC9" s="33">
        <v>12</v>
      </c>
      <c r="AD9" s="33">
        <v>13</v>
      </c>
      <c r="AE9" s="33">
        <v>20</v>
      </c>
      <c r="AF9" s="33">
        <v>30</v>
      </c>
      <c r="AG9" s="33">
        <v>29</v>
      </c>
      <c r="AH9" s="33">
        <v>10</v>
      </c>
      <c r="AI9" s="33">
        <v>12</v>
      </c>
      <c r="AJ9" s="33">
        <v>19</v>
      </c>
      <c r="AK9" s="33">
        <v>14</v>
      </c>
      <c r="AL9" s="33">
        <v>25</v>
      </c>
      <c r="AM9" s="33">
        <v>17</v>
      </c>
      <c r="AN9" s="33">
        <v>22</v>
      </c>
      <c r="AO9" s="32">
        <f>SUM(C9:AN9)</f>
        <v>690</v>
      </c>
      <c r="AP9" s="26">
        <f>AO9/17</f>
        <v>40.588235294117645</v>
      </c>
    </row>
    <row r="10" spans="1:42" x14ac:dyDescent="0.25">
      <c r="A10" s="3">
        <v>2</v>
      </c>
      <c r="B10" s="27" t="str">
        <f>('1st Term'!B10)</f>
        <v>ADEOLA PEDRO</v>
      </c>
      <c r="C10" s="33">
        <v>28</v>
      </c>
      <c r="D10" s="33">
        <v>39</v>
      </c>
      <c r="E10" s="33">
        <v>27</v>
      </c>
      <c r="F10" s="33">
        <v>50</v>
      </c>
      <c r="G10" s="33">
        <v>24</v>
      </c>
      <c r="H10" s="33">
        <v>30</v>
      </c>
      <c r="I10" s="33">
        <v>17</v>
      </c>
      <c r="J10" s="33">
        <v>25</v>
      </c>
      <c r="K10" s="33">
        <v>20</v>
      </c>
      <c r="L10" s="33">
        <v>30</v>
      </c>
      <c r="M10" s="33">
        <v>18</v>
      </c>
      <c r="N10" s="33">
        <v>33</v>
      </c>
      <c r="O10" s="33">
        <v>24</v>
      </c>
      <c r="P10" s="33">
        <v>39</v>
      </c>
      <c r="Q10" s="33">
        <v>18</v>
      </c>
      <c r="R10" s="33">
        <v>44</v>
      </c>
      <c r="S10" s="34"/>
      <c r="T10" s="34"/>
      <c r="U10" s="33">
        <v>16</v>
      </c>
      <c r="V10" s="33">
        <v>51</v>
      </c>
      <c r="W10" s="33">
        <v>24</v>
      </c>
      <c r="X10" s="33">
        <v>50</v>
      </c>
      <c r="Y10" s="33">
        <v>21</v>
      </c>
      <c r="Z10" s="33">
        <v>39</v>
      </c>
      <c r="AA10" s="34"/>
      <c r="AB10" s="34"/>
      <c r="AC10" s="33">
        <v>22</v>
      </c>
      <c r="AD10" s="33">
        <v>42</v>
      </c>
      <c r="AE10" s="33">
        <v>20</v>
      </c>
      <c r="AF10" s="33">
        <v>45</v>
      </c>
      <c r="AG10" s="33">
        <v>29</v>
      </c>
      <c r="AH10" s="33">
        <v>32</v>
      </c>
      <c r="AI10" s="33">
        <v>27</v>
      </c>
      <c r="AJ10" s="33">
        <v>27</v>
      </c>
      <c r="AK10" s="33">
        <v>21</v>
      </c>
      <c r="AL10" s="33">
        <v>34</v>
      </c>
      <c r="AM10" s="33">
        <v>26</v>
      </c>
      <c r="AN10" s="33">
        <v>50</v>
      </c>
      <c r="AO10" s="32">
        <f t="shared" ref="AO10:AO48" si="0">SUM(C10:AN10)</f>
        <v>1042</v>
      </c>
      <c r="AP10" s="26">
        <f t="shared" ref="AP10:AP48" si="1">AO10/17</f>
        <v>61.294117647058826</v>
      </c>
    </row>
    <row r="11" spans="1:42" x14ac:dyDescent="0.25">
      <c r="A11" s="3">
        <v>3</v>
      </c>
      <c r="B11" s="27" t="str">
        <f>('1st Term'!B11)</f>
        <v>ASAMS DANIELLA</v>
      </c>
      <c r="C11" s="33">
        <v>28</v>
      </c>
      <c r="D11" s="33">
        <v>40</v>
      </c>
      <c r="E11" s="33">
        <v>29</v>
      </c>
      <c r="F11" s="33">
        <v>52</v>
      </c>
      <c r="G11" s="33">
        <v>24</v>
      </c>
      <c r="H11" s="33">
        <v>67</v>
      </c>
      <c r="I11" s="33">
        <v>19</v>
      </c>
      <c r="J11" s="33">
        <v>41</v>
      </c>
      <c r="K11" s="33">
        <v>30</v>
      </c>
      <c r="L11" s="33">
        <v>40</v>
      </c>
      <c r="M11" s="33">
        <v>20</v>
      </c>
      <c r="N11" s="33">
        <v>31</v>
      </c>
      <c r="O11" s="33">
        <v>22</v>
      </c>
      <c r="P11" s="33">
        <v>34</v>
      </c>
      <c r="Q11" s="33">
        <v>29</v>
      </c>
      <c r="R11" s="33">
        <v>43</v>
      </c>
      <c r="S11" s="34"/>
      <c r="T11" s="34"/>
      <c r="U11" s="33">
        <v>21</v>
      </c>
      <c r="V11" s="33">
        <v>49</v>
      </c>
      <c r="W11" s="33">
        <v>28</v>
      </c>
      <c r="X11" s="33">
        <v>57</v>
      </c>
      <c r="Y11" s="33">
        <v>20</v>
      </c>
      <c r="Z11" s="33">
        <v>30</v>
      </c>
      <c r="AA11" s="34"/>
      <c r="AB11" s="34"/>
      <c r="AC11" s="33">
        <v>16</v>
      </c>
      <c r="AD11" s="33">
        <v>38</v>
      </c>
      <c r="AE11" s="37">
        <v>15</v>
      </c>
      <c r="AF11" s="37">
        <v>31</v>
      </c>
      <c r="AG11" s="33">
        <v>26</v>
      </c>
      <c r="AH11" s="33">
        <v>35</v>
      </c>
      <c r="AI11" s="33">
        <v>22</v>
      </c>
      <c r="AJ11" s="33">
        <v>40</v>
      </c>
      <c r="AK11" s="33">
        <v>22</v>
      </c>
      <c r="AL11" s="33">
        <v>50</v>
      </c>
      <c r="AM11" s="33">
        <v>24</v>
      </c>
      <c r="AN11" s="33">
        <v>43</v>
      </c>
      <c r="AO11" s="32">
        <f t="shared" si="0"/>
        <v>1116</v>
      </c>
      <c r="AP11" s="26">
        <f t="shared" si="1"/>
        <v>65.647058823529406</v>
      </c>
    </row>
    <row r="12" spans="1:42" x14ac:dyDescent="0.25">
      <c r="A12" s="3">
        <v>4</v>
      </c>
      <c r="B12" s="27" t="str">
        <f>('1st Term'!B12)</f>
        <v>ASIBOR NANCY</v>
      </c>
      <c r="C12" s="33">
        <v>28</v>
      </c>
      <c r="D12" s="33">
        <v>55</v>
      </c>
      <c r="E12" s="33">
        <v>28</v>
      </c>
      <c r="F12" s="33">
        <v>65</v>
      </c>
      <c r="G12" s="33">
        <v>30</v>
      </c>
      <c r="H12" s="33">
        <v>57</v>
      </c>
      <c r="I12" s="33">
        <v>21</v>
      </c>
      <c r="J12" s="33">
        <v>37</v>
      </c>
      <c r="K12" s="33">
        <v>30</v>
      </c>
      <c r="L12" s="33">
        <v>44</v>
      </c>
      <c r="M12" s="33">
        <v>22</v>
      </c>
      <c r="N12" s="33">
        <v>40</v>
      </c>
      <c r="O12" s="33">
        <v>27</v>
      </c>
      <c r="P12" s="33">
        <v>34</v>
      </c>
      <c r="Q12" s="33">
        <v>27</v>
      </c>
      <c r="R12" s="33">
        <v>53</v>
      </c>
      <c r="S12" s="34"/>
      <c r="T12" s="34"/>
      <c r="U12" s="33">
        <v>23</v>
      </c>
      <c r="V12" s="33">
        <v>57</v>
      </c>
      <c r="W12" s="33">
        <v>29</v>
      </c>
      <c r="X12" s="33">
        <v>44</v>
      </c>
      <c r="Y12" s="33">
        <v>23</v>
      </c>
      <c r="Z12" s="33">
        <v>35</v>
      </c>
      <c r="AA12" s="34"/>
      <c r="AB12" s="34"/>
      <c r="AC12" s="33">
        <v>28</v>
      </c>
      <c r="AD12" s="33">
        <v>42</v>
      </c>
      <c r="AE12" s="33">
        <v>15</v>
      </c>
      <c r="AF12" s="33">
        <v>60</v>
      </c>
      <c r="AG12" s="33">
        <v>26</v>
      </c>
      <c r="AH12" s="33">
        <v>45</v>
      </c>
      <c r="AI12" s="33">
        <v>29</v>
      </c>
      <c r="AJ12" s="33">
        <v>47</v>
      </c>
      <c r="AK12" s="33">
        <v>22</v>
      </c>
      <c r="AL12" s="33">
        <v>60</v>
      </c>
      <c r="AM12" s="33">
        <v>26</v>
      </c>
      <c r="AN12" s="33">
        <v>48</v>
      </c>
      <c r="AO12" s="32">
        <f t="shared" si="0"/>
        <v>1257</v>
      </c>
      <c r="AP12" s="26">
        <f t="shared" si="1"/>
        <v>73.941176470588232</v>
      </c>
    </row>
    <row r="13" spans="1:42" x14ac:dyDescent="0.25">
      <c r="A13" s="3">
        <v>5</v>
      </c>
      <c r="B13" s="27" t="str">
        <f>('1st Term'!B13)</f>
        <v>BANKOLE AMEERAT</v>
      </c>
      <c r="C13" s="33">
        <v>30</v>
      </c>
      <c r="D13" s="33">
        <v>68</v>
      </c>
      <c r="E13" s="33">
        <v>30</v>
      </c>
      <c r="F13" s="33">
        <v>65</v>
      </c>
      <c r="G13" s="33">
        <v>30</v>
      </c>
      <c r="H13" s="33">
        <v>67</v>
      </c>
      <c r="I13" s="33">
        <v>19</v>
      </c>
      <c r="J13" s="33">
        <v>35</v>
      </c>
      <c r="K13" s="33">
        <v>30</v>
      </c>
      <c r="L13" s="33">
        <v>63</v>
      </c>
      <c r="M13" s="33">
        <v>18</v>
      </c>
      <c r="N13" s="33">
        <v>35</v>
      </c>
      <c r="O13" s="33">
        <v>26</v>
      </c>
      <c r="P13" s="33">
        <v>41</v>
      </c>
      <c r="Q13" s="33">
        <v>29</v>
      </c>
      <c r="R13" s="33">
        <v>57</v>
      </c>
      <c r="S13" s="34"/>
      <c r="T13" s="34"/>
      <c r="U13" s="33">
        <v>24</v>
      </c>
      <c r="V13" s="33">
        <v>61</v>
      </c>
      <c r="W13" s="33">
        <v>29</v>
      </c>
      <c r="X13" s="33">
        <v>61</v>
      </c>
      <c r="Y13" s="33">
        <v>25</v>
      </c>
      <c r="Z13" s="33">
        <v>55</v>
      </c>
      <c r="AA13" s="34"/>
      <c r="AB13" s="34"/>
      <c r="AC13" s="33">
        <v>30</v>
      </c>
      <c r="AD13" s="33">
        <v>51</v>
      </c>
      <c r="AE13" s="33">
        <v>30</v>
      </c>
      <c r="AF13" s="33">
        <v>65</v>
      </c>
      <c r="AG13" s="33">
        <v>26</v>
      </c>
      <c r="AH13" s="33">
        <v>50</v>
      </c>
      <c r="AI13" s="33">
        <v>22</v>
      </c>
      <c r="AJ13" s="33">
        <v>52</v>
      </c>
      <c r="AK13" s="33">
        <v>27</v>
      </c>
      <c r="AL13" s="33">
        <v>53</v>
      </c>
      <c r="AM13" s="33">
        <v>26</v>
      </c>
      <c r="AN13" s="33">
        <v>68</v>
      </c>
      <c r="AO13" s="32">
        <f t="shared" si="0"/>
        <v>1398</v>
      </c>
      <c r="AP13" s="26">
        <f t="shared" si="1"/>
        <v>82.235294117647058</v>
      </c>
    </row>
    <row r="14" spans="1:42" x14ac:dyDescent="0.25">
      <c r="A14" s="3">
        <v>6</v>
      </c>
      <c r="B14" s="27" t="str">
        <f>('1st Term'!B14)</f>
        <v>CHIEKEZIE MAXWELL</v>
      </c>
      <c r="C14" s="33">
        <v>28</v>
      </c>
      <c r="D14" s="33">
        <v>18</v>
      </c>
      <c r="E14" s="33">
        <v>15</v>
      </c>
      <c r="F14" s="33">
        <v>22</v>
      </c>
      <c r="G14" s="33">
        <v>18</v>
      </c>
      <c r="H14" s="33">
        <v>27</v>
      </c>
      <c r="I14" s="33">
        <v>15</v>
      </c>
      <c r="J14" s="33">
        <v>20</v>
      </c>
      <c r="K14" s="33">
        <v>24</v>
      </c>
      <c r="L14" s="33">
        <v>28</v>
      </c>
      <c r="M14" s="33">
        <v>15</v>
      </c>
      <c r="N14" s="33">
        <v>17</v>
      </c>
      <c r="O14" s="33">
        <v>19</v>
      </c>
      <c r="P14" s="33">
        <v>22</v>
      </c>
      <c r="Q14" s="33">
        <v>16</v>
      </c>
      <c r="R14" s="33">
        <v>21</v>
      </c>
      <c r="S14" s="34"/>
      <c r="T14" s="34"/>
      <c r="U14" s="33">
        <v>13</v>
      </c>
      <c r="V14" s="33">
        <v>25</v>
      </c>
      <c r="W14" s="33">
        <v>21</v>
      </c>
      <c r="X14" s="33">
        <v>32</v>
      </c>
      <c r="Y14" s="33">
        <v>18</v>
      </c>
      <c r="Z14" s="33">
        <v>15</v>
      </c>
      <c r="AA14" s="34"/>
      <c r="AB14" s="34"/>
      <c r="AC14" s="33">
        <v>12</v>
      </c>
      <c r="AD14" s="33">
        <v>17</v>
      </c>
      <c r="AE14" s="33">
        <v>20</v>
      </c>
      <c r="AF14" s="33">
        <v>13</v>
      </c>
      <c r="AG14" s="33">
        <v>29</v>
      </c>
      <c r="AH14" s="33">
        <v>30</v>
      </c>
      <c r="AI14" s="33">
        <v>14</v>
      </c>
      <c r="AJ14" s="33">
        <v>14</v>
      </c>
      <c r="AK14" s="33">
        <v>14</v>
      </c>
      <c r="AL14" s="33">
        <v>28</v>
      </c>
      <c r="AM14" s="33">
        <v>11</v>
      </c>
      <c r="AN14" s="33">
        <v>15</v>
      </c>
      <c r="AO14" s="32">
        <f t="shared" si="0"/>
        <v>666</v>
      </c>
      <c r="AP14" s="26">
        <f t="shared" si="1"/>
        <v>39.176470588235297</v>
      </c>
    </row>
    <row r="15" spans="1:42" x14ac:dyDescent="0.25">
      <c r="A15" s="3">
        <v>7</v>
      </c>
      <c r="B15" s="27" t="str">
        <f>('1st Term'!B15)</f>
        <v>EDET MOSES</v>
      </c>
      <c r="C15" s="33">
        <v>28</v>
      </c>
      <c r="D15" s="33">
        <v>35</v>
      </c>
      <c r="E15" s="33">
        <v>25</v>
      </c>
      <c r="F15" s="33">
        <v>41</v>
      </c>
      <c r="G15" s="33">
        <v>17</v>
      </c>
      <c r="H15" s="33">
        <v>37</v>
      </c>
      <c r="I15" s="33">
        <v>17</v>
      </c>
      <c r="J15" s="33">
        <v>19</v>
      </c>
      <c r="K15" s="34">
        <v>16</v>
      </c>
      <c r="L15" s="34">
        <v>25</v>
      </c>
      <c r="M15" s="33">
        <v>21</v>
      </c>
      <c r="N15" s="33">
        <v>20</v>
      </c>
      <c r="O15" s="33">
        <v>19</v>
      </c>
      <c r="P15" s="33">
        <v>34</v>
      </c>
      <c r="Q15" s="33">
        <v>26</v>
      </c>
      <c r="R15" s="33">
        <v>35</v>
      </c>
      <c r="S15" s="34"/>
      <c r="T15" s="34"/>
      <c r="U15" s="33">
        <v>22</v>
      </c>
      <c r="V15" s="33">
        <v>42</v>
      </c>
      <c r="W15" s="33">
        <v>30</v>
      </c>
      <c r="X15" s="33">
        <v>37</v>
      </c>
      <c r="Y15" s="33">
        <v>23</v>
      </c>
      <c r="Z15" s="33">
        <v>27</v>
      </c>
      <c r="AA15" s="34"/>
      <c r="AB15" s="34"/>
      <c r="AC15" s="33">
        <v>16</v>
      </c>
      <c r="AD15" s="33">
        <v>21</v>
      </c>
      <c r="AE15" s="33">
        <v>25</v>
      </c>
      <c r="AF15" s="33">
        <v>11</v>
      </c>
      <c r="AG15" s="33">
        <v>27</v>
      </c>
      <c r="AH15" s="33">
        <v>30</v>
      </c>
      <c r="AI15" s="33">
        <v>15</v>
      </c>
      <c r="AJ15" s="33">
        <v>26</v>
      </c>
      <c r="AK15" s="33">
        <v>17</v>
      </c>
      <c r="AL15" s="33">
        <v>30</v>
      </c>
      <c r="AM15" s="33">
        <v>22</v>
      </c>
      <c r="AN15" s="33">
        <v>20</v>
      </c>
      <c r="AO15" s="32">
        <f t="shared" si="0"/>
        <v>856</v>
      </c>
      <c r="AP15" s="26">
        <f t="shared" si="1"/>
        <v>50.352941176470587</v>
      </c>
    </row>
    <row r="16" spans="1:42" x14ac:dyDescent="0.25">
      <c r="A16" s="3">
        <v>8</v>
      </c>
      <c r="B16" s="27" t="str">
        <f>('1st Term'!B16)</f>
        <v>ENEJOH PHINEHAS</v>
      </c>
      <c r="C16" s="33">
        <v>28</v>
      </c>
      <c r="D16" s="33">
        <v>42</v>
      </c>
      <c r="E16" s="33">
        <v>19</v>
      </c>
      <c r="F16" s="33">
        <v>36</v>
      </c>
      <c r="G16" s="33">
        <v>24</v>
      </c>
      <c r="H16" s="33">
        <v>47</v>
      </c>
      <c r="I16" s="33">
        <v>17</v>
      </c>
      <c r="J16" s="33">
        <v>25</v>
      </c>
      <c r="K16" s="33">
        <v>29</v>
      </c>
      <c r="L16" s="33">
        <v>20</v>
      </c>
      <c r="M16" s="33">
        <v>19</v>
      </c>
      <c r="N16" s="33">
        <v>16</v>
      </c>
      <c r="O16" s="33">
        <v>25</v>
      </c>
      <c r="P16" s="33">
        <v>27</v>
      </c>
      <c r="Q16" s="33">
        <v>18</v>
      </c>
      <c r="R16" s="33">
        <v>20</v>
      </c>
      <c r="S16" s="34"/>
      <c r="T16" s="34"/>
      <c r="U16" s="33">
        <v>14</v>
      </c>
      <c r="V16" s="33">
        <v>28</v>
      </c>
      <c r="W16" s="33">
        <v>24</v>
      </c>
      <c r="X16" s="33">
        <v>22</v>
      </c>
      <c r="Y16" s="33">
        <v>16</v>
      </c>
      <c r="Z16" s="33">
        <v>15</v>
      </c>
      <c r="AA16" s="34"/>
      <c r="AB16" s="34"/>
      <c r="AC16" s="33">
        <v>12</v>
      </c>
      <c r="AD16" s="33">
        <v>19</v>
      </c>
      <c r="AE16" s="33">
        <v>25</v>
      </c>
      <c r="AF16" s="33">
        <v>29</v>
      </c>
      <c r="AG16" s="33">
        <v>29</v>
      </c>
      <c r="AH16" s="33">
        <v>30</v>
      </c>
      <c r="AI16" s="33">
        <v>18</v>
      </c>
      <c r="AJ16" s="33">
        <v>22</v>
      </c>
      <c r="AK16" s="33">
        <v>16</v>
      </c>
      <c r="AL16" s="33">
        <v>36</v>
      </c>
      <c r="AM16" s="33">
        <v>21</v>
      </c>
      <c r="AN16" s="33">
        <v>15</v>
      </c>
      <c r="AO16" s="32">
        <f t="shared" si="0"/>
        <v>803</v>
      </c>
      <c r="AP16" s="26">
        <f t="shared" si="1"/>
        <v>47.235294117647058</v>
      </c>
    </row>
    <row r="17" spans="1:42" x14ac:dyDescent="0.25">
      <c r="A17" s="3">
        <v>9</v>
      </c>
      <c r="B17" s="27" t="str">
        <f>('1st Term'!B17)</f>
        <v>EWELUKWA FAVOUR</v>
      </c>
      <c r="C17" s="33">
        <v>29</v>
      </c>
      <c r="D17" s="33">
        <v>65</v>
      </c>
      <c r="E17" s="33">
        <v>26</v>
      </c>
      <c r="F17" s="33">
        <v>58</v>
      </c>
      <c r="G17" s="33">
        <v>26</v>
      </c>
      <c r="H17" s="33">
        <v>70</v>
      </c>
      <c r="I17" s="33">
        <v>18</v>
      </c>
      <c r="J17" s="33">
        <v>26</v>
      </c>
      <c r="K17" s="33">
        <v>30</v>
      </c>
      <c r="L17" s="33">
        <v>59</v>
      </c>
      <c r="M17" s="33">
        <v>20</v>
      </c>
      <c r="N17" s="33">
        <v>34</v>
      </c>
      <c r="O17" s="33">
        <v>25</v>
      </c>
      <c r="P17" s="33">
        <v>42</v>
      </c>
      <c r="Q17" s="33">
        <v>22</v>
      </c>
      <c r="R17" s="33">
        <v>48</v>
      </c>
      <c r="S17" s="34"/>
      <c r="T17" s="34"/>
      <c r="U17" s="33">
        <v>24</v>
      </c>
      <c r="V17" s="33">
        <v>59</v>
      </c>
      <c r="W17" s="33">
        <v>29</v>
      </c>
      <c r="X17" s="33">
        <v>62</v>
      </c>
      <c r="Y17" s="33">
        <v>21</v>
      </c>
      <c r="Z17" s="33">
        <v>36</v>
      </c>
      <c r="AA17" s="34"/>
      <c r="AB17" s="34"/>
      <c r="AC17" s="33">
        <v>20</v>
      </c>
      <c r="AD17" s="33">
        <v>41</v>
      </c>
      <c r="AE17" s="33">
        <v>25</v>
      </c>
      <c r="AF17" s="33">
        <v>52</v>
      </c>
      <c r="AG17" s="33">
        <v>26</v>
      </c>
      <c r="AH17" s="33">
        <v>40</v>
      </c>
      <c r="AI17" s="33">
        <v>17</v>
      </c>
      <c r="AJ17" s="33">
        <v>24</v>
      </c>
      <c r="AK17" s="33">
        <v>18</v>
      </c>
      <c r="AL17" s="33">
        <v>60</v>
      </c>
      <c r="AM17" s="33">
        <v>18</v>
      </c>
      <c r="AN17" s="33">
        <v>50</v>
      </c>
      <c r="AO17" s="32">
        <f t="shared" si="0"/>
        <v>1220</v>
      </c>
      <c r="AP17" s="26">
        <f t="shared" si="1"/>
        <v>71.764705882352942</v>
      </c>
    </row>
    <row r="18" spans="1:42" x14ac:dyDescent="0.25">
      <c r="A18" s="3">
        <v>10</v>
      </c>
      <c r="B18" s="27" t="str">
        <f>('1st Term'!B18)</f>
        <v>HAMMED OLAMIDE</v>
      </c>
      <c r="C18" s="33">
        <v>28</v>
      </c>
      <c r="D18" s="33">
        <v>5</v>
      </c>
      <c r="E18" s="33">
        <v>12</v>
      </c>
      <c r="F18" s="33">
        <v>11</v>
      </c>
      <c r="G18" s="33">
        <v>16</v>
      </c>
      <c r="H18" s="33">
        <v>13</v>
      </c>
      <c r="I18" s="33">
        <v>14</v>
      </c>
      <c r="J18" s="33">
        <v>7</v>
      </c>
      <c r="K18" s="33">
        <v>12</v>
      </c>
      <c r="L18" s="33">
        <v>27</v>
      </c>
      <c r="M18" s="33">
        <v>10</v>
      </c>
      <c r="N18" s="33">
        <v>15</v>
      </c>
      <c r="O18" s="33">
        <v>18</v>
      </c>
      <c r="P18" s="33">
        <v>20</v>
      </c>
      <c r="Q18" s="33">
        <v>13</v>
      </c>
      <c r="R18" s="33">
        <v>20</v>
      </c>
      <c r="S18" s="34"/>
      <c r="T18" s="34"/>
      <c r="U18" s="33">
        <v>11</v>
      </c>
      <c r="V18" s="33">
        <v>3</v>
      </c>
      <c r="W18" s="33">
        <v>11</v>
      </c>
      <c r="X18" s="33">
        <v>14</v>
      </c>
      <c r="Y18" s="33">
        <v>15</v>
      </c>
      <c r="Z18" s="33">
        <v>15</v>
      </c>
      <c r="AA18" s="34"/>
      <c r="AB18" s="34"/>
      <c r="AC18" s="33">
        <v>12</v>
      </c>
      <c r="AD18" s="33">
        <v>3</v>
      </c>
      <c r="AE18" s="33">
        <v>25</v>
      </c>
      <c r="AF18" s="33">
        <v>15</v>
      </c>
      <c r="AG18" s="33">
        <v>30</v>
      </c>
      <c r="AH18" s="33">
        <v>20</v>
      </c>
      <c r="AI18" s="33">
        <v>23</v>
      </c>
      <c r="AJ18" s="33">
        <v>55</v>
      </c>
      <c r="AK18" s="33">
        <v>14</v>
      </c>
      <c r="AL18" s="33">
        <v>26</v>
      </c>
      <c r="AM18" s="33">
        <v>12</v>
      </c>
      <c r="AN18" s="33">
        <v>19</v>
      </c>
      <c r="AO18" s="32">
        <f t="shared" si="0"/>
        <v>564</v>
      </c>
      <c r="AP18" s="26">
        <f t="shared" si="1"/>
        <v>33.176470588235297</v>
      </c>
    </row>
    <row r="19" spans="1:42" x14ac:dyDescent="0.25">
      <c r="A19" s="3">
        <v>11</v>
      </c>
      <c r="B19" s="27" t="str">
        <f>('1st Term'!B19)</f>
        <v>HAMZAT AKOREDE</v>
      </c>
      <c r="C19" s="33">
        <v>28</v>
      </c>
      <c r="D19" s="33">
        <v>27</v>
      </c>
      <c r="E19" s="33">
        <v>17</v>
      </c>
      <c r="F19" s="33">
        <v>42</v>
      </c>
      <c r="G19" s="33">
        <v>15</v>
      </c>
      <c r="H19" s="33">
        <v>34</v>
      </c>
      <c r="I19" s="33">
        <v>15</v>
      </c>
      <c r="J19" s="33">
        <v>22</v>
      </c>
      <c r="K19" s="33">
        <v>17</v>
      </c>
      <c r="L19" s="33">
        <v>33</v>
      </c>
      <c r="M19" s="33">
        <v>14</v>
      </c>
      <c r="N19" s="33">
        <v>15</v>
      </c>
      <c r="O19" s="33">
        <v>24</v>
      </c>
      <c r="P19" s="33">
        <v>18</v>
      </c>
      <c r="Q19" s="33">
        <v>11</v>
      </c>
      <c r="R19" s="33">
        <v>20</v>
      </c>
      <c r="S19" s="34"/>
      <c r="T19" s="34"/>
      <c r="U19" s="33">
        <v>14</v>
      </c>
      <c r="V19" s="33">
        <v>48</v>
      </c>
      <c r="W19" s="33">
        <v>11</v>
      </c>
      <c r="X19" s="33">
        <v>32</v>
      </c>
      <c r="Y19" s="33">
        <v>21</v>
      </c>
      <c r="Z19" s="33">
        <v>20</v>
      </c>
      <c r="AA19" s="34"/>
      <c r="AB19" s="34"/>
      <c r="AC19" s="33">
        <v>16</v>
      </c>
      <c r="AD19" s="33">
        <v>28</v>
      </c>
      <c r="AE19" s="33">
        <v>15</v>
      </c>
      <c r="AF19" s="33">
        <v>30</v>
      </c>
      <c r="AG19" s="33">
        <v>30</v>
      </c>
      <c r="AH19" s="33">
        <v>13</v>
      </c>
      <c r="AI19" s="33">
        <v>11</v>
      </c>
      <c r="AJ19" s="33">
        <v>7</v>
      </c>
      <c r="AK19" s="33">
        <v>13</v>
      </c>
      <c r="AL19" s="33">
        <v>32</v>
      </c>
      <c r="AM19" s="33">
        <v>12</v>
      </c>
      <c r="AN19" s="33">
        <v>19</v>
      </c>
      <c r="AO19" s="32">
        <f t="shared" si="0"/>
        <v>724</v>
      </c>
      <c r="AP19" s="26">
        <f t="shared" si="1"/>
        <v>42.588235294117645</v>
      </c>
    </row>
    <row r="20" spans="1:42" x14ac:dyDescent="0.25">
      <c r="A20" s="3">
        <v>12</v>
      </c>
      <c r="B20" s="27" t="str">
        <f>('1st Term'!B20)</f>
        <v>JAMES DIVINE</v>
      </c>
      <c r="C20" s="33"/>
      <c r="D20" s="33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3"/>
      <c r="AH20" s="33"/>
      <c r="AI20" s="34"/>
      <c r="AJ20" s="34"/>
      <c r="AK20" s="34"/>
      <c r="AL20" s="34"/>
      <c r="AM20" s="34"/>
      <c r="AN20" s="34"/>
      <c r="AO20" s="32">
        <f t="shared" si="0"/>
        <v>0</v>
      </c>
      <c r="AP20" s="26">
        <f t="shared" si="1"/>
        <v>0</v>
      </c>
    </row>
    <row r="21" spans="1:42" x14ac:dyDescent="0.25">
      <c r="A21" s="3">
        <v>13</v>
      </c>
      <c r="B21" s="27" t="str">
        <f>('1st Term'!B21)</f>
        <v>JOEL JOSHUA</v>
      </c>
      <c r="C21" s="33">
        <v>28</v>
      </c>
      <c r="D21" s="33">
        <v>36</v>
      </c>
      <c r="E21" s="33">
        <v>22</v>
      </c>
      <c r="F21" s="33">
        <v>53</v>
      </c>
      <c r="G21" s="33">
        <v>27</v>
      </c>
      <c r="H21" s="33">
        <v>46</v>
      </c>
      <c r="I21" s="33">
        <v>15</v>
      </c>
      <c r="J21" s="33">
        <v>22</v>
      </c>
      <c r="K21" s="33">
        <v>17</v>
      </c>
      <c r="L21" s="33">
        <v>32</v>
      </c>
      <c r="M21" s="33">
        <v>14</v>
      </c>
      <c r="N21" s="33">
        <v>21</v>
      </c>
      <c r="O21" s="33">
        <v>24</v>
      </c>
      <c r="P21" s="33">
        <v>34</v>
      </c>
      <c r="Q21" s="33">
        <v>21</v>
      </c>
      <c r="R21" s="33">
        <v>45</v>
      </c>
      <c r="S21" s="34"/>
      <c r="T21" s="34"/>
      <c r="U21" s="33">
        <v>18</v>
      </c>
      <c r="V21" s="33">
        <v>52</v>
      </c>
      <c r="W21" s="33">
        <v>19</v>
      </c>
      <c r="X21" s="33">
        <v>36</v>
      </c>
      <c r="Y21" s="33">
        <v>20</v>
      </c>
      <c r="Z21" s="33">
        <v>30</v>
      </c>
      <c r="AA21" s="34"/>
      <c r="AB21" s="34"/>
      <c r="AC21" s="33">
        <v>22</v>
      </c>
      <c r="AD21" s="33">
        <v>22</v>
      </c>
      <c r="AE21" s="33">
        <v>20</v>
      </c>
      <c r="AF21" s="33">
        <v>16</v>
      </c>
      <c r="AG21" s="33">
        <v>29</v>
      </c>
      <c r="AH21" s="33">
        <v>22</v>
      </c>
      <c r="AI21" s="33">
        <v>22</v>
      </c>
      <c r="AJ21" s="33">
        <v>37</v>
      </c>
      <c r="AK21" s="33">
        <v>17</v>
      </c>
      <c r="AL21" s="33">
        <v>29</v>
      </c>
      <c r="AM21" s="33">
        <v>13</v>
      </c>
      <c r="AN21" s="33">
        <v>30</v>
      </c>
      <c r="AO21" s="32">
        <f t="shared" si="0"/>
        <v>911</v>
      </c>
      <c r="AP21" s="26">
        <f t="shared" si="1"/>
        <v>53.588235294117645</v>
      </c>
    </row>
    <row r="22" spans="1:42" x14ac:dyDescent="0.25">
      <c r="A22" s="3">
        <v>14</v>
      </c>
      <c r="B22" s="27" t="str">
        <f>('1st Term'!B22)</f>
        <v>JOSIAH SUNDAY</v>
      </c>
      <c r="C22" s="33">
        <v>28</v>
      </c>
      <c r="D22" s="33">
        <v>36</v>
      </c>
      <c r="E22" s="33">
        <v>25</v>
      </c>
      <c r="F22" s="33">
        <v>38</v>
      </c>
      <c r="G22" s="33">
        <v>30</v>
      </c>
      <c r="H22" s="33">
        <v>36</v>
      </c>
      <c r="I22" s="33">
        <v>15</v>
      </c>
      <c r="J22" s="33">
        <v>25</v>
      </c>
      <c r="K22" s="33">
        <v>24</v>
      </c>
      <c r="L22" s="33">
        <v>24</v>
      </c>
      <c r="M22" s="33">
        <v>14</v>
      </c>
      <c r="N22" s="33">
        <v>21</v>
      </c>
      <c r="O22" s="33">
        <v>20</v>
      </c>
      <c r="P22" s="33">
        <v>33</v>
      </c>
      <c r="Q22" s="33">
        <v>20</v>
      </c>
      <c r="R22" s="33">
        <v>35</v>
      </c>
      <c r="S22" s="34"/>
      <c r="T22" s="34"/>
      <c r="U22" s="33">
        <v>19</v>
      </c>
      <c r="V22" s="33">
        <v>50</v>
      </c>
      <c r="W22" s="33">
        <v>24</v>
      </c>
      <c r="X22" s="33">
        <v>27</v>
      </c>
      <c r="Y22" s="33">
        <v>20</v>
      </c>
      <c r="Z22" s="33">
        <v>30</v>
      </c>
      <c r="AA22" s="34"/>
      <c r="AB22" s="34"/>
      <c r="AC22" s="33">
        <v>22</v>
      </c>
      <c r="AD22" s="33">
        <v>21</v>
      </c>
      <c r="AE22" s="33">
        <v>30</v>
      </c>
      <c r="AF22" s="33">
        <v>60</v>
      </c>
      <c r="AG22" s="33">
        <v>28</v>
      </c>
      <c r="AH22" s="33">
        <v>18</v>
      </c>
      <c r="AI22" s="33">
        <v>19</v>
      </c>
      <c r="AJ22" s="33">
        <v>37</v>
      </c>
      <c r="AK22" s="33">
        <v>17</v>
      </c>
      <c r="AL22" s="33">
        <v>33</v>
      </c>
      <c r="AM22" s="33">
        <v>24</v>
      </c>
      <c r="AN22" s="33">
        <v>34</v>
      </c>
      <c r="AO22" s="32">
        <f t="shared" si="0"/>
        <v>937</v>
      </c>
      <c r="AP22" s="26">
        <f t="shared" si="1"/>
        <v>55.117647058823529</v>
      </c>
    </row>
    <row r="23" spans="1:42" x14ac:dyDescent="0.25">
      <c r="A23" s="3">
        <v>15</v>
      </c>
      <c r="B23" s="27" t="str">
        <f>('1st Term'!B23)</f>
        <v>KUFRE GOODNEWS</v>
      </c>
      <c r="C23" s="33">
        <v>28</v>
      </c>
      <c r="D23" s="33">
        <v>30</v>
      </c>
      <c r="E23" s="33">
        <v>20</v>
      </c>
      <c r="F23" s="33">
        <v>44</v>
      </c>
      <c r="G23" s="33">
        <v>26</v>
      </c>
      <c r="H23" s="33">
        <v>65</v>
      </c>
      <c r="I23" s="33">
        <v>16</v>
      </c>
      <c r="J23" s="33">
        <v>20</v>
      </c>
      <c r="K23" s="33">
        <v>13</v>
      </c>
      <c r="L23" s="33">
        <v>22</v>
      </c>
      <c r="M23" s="33">
        <v>15</v>
      </c>
      <c r="N23" s="33">
        <v>14</v>
      </c>
      <c r="O23" s="33">
        <v>23</v>
      </c>
      <c r="P23" s="33">
        <v>26</v>
      </c>
      <c r="Q23" s="33">
        <v>17</v>
      </c>
      <c r="R23" s="33">
        <v>29</v>
      </c>
      <c r="S23" s="34"/>
      <c r="T23" s="34"/>
      <c r="U23" s="33">
        <v>17</v>
      </c>
      <c r="V23" s="33">
        <v>40</v>
      </c>
      <c r="W23" s="33">
        <v>18</v>
      </c>
      <c r="X23" s="33">
        <v>37</v>
      </c>
      <c r="Y23" s="33">
        <v>25</v>
      </c>
      <c r="Z23" s="33">
        <v>25</v>
      </c>
      <c r="AA23" s="34"/>
      <c r="AB23" s="34"/>
      <c r="AC23" s="33">
        <v>12</v>
      </c>
      <c r="AD23" s="33">
        <v>30</v>
      </c>
      <c r="AE23" s="33">
        <v>20</v>
      </c>
      <c r="AF23" s="33">
        <v>10</v>
      </c>
      <c r="AG23" s="33">
        <v>29</v>
      </c>
      <c r="AH23" s="33">
        <v>35</v>
      </c>
      <c r="AI23" s="33">
        <v>22</v>
      </c>
      <c r="AJ23" s="33">
        <v>23</v>
      </c>
      <c r="AK23" s="33">
        <v>16</v>
      </c>
      <c r="AL23" s="33">
        <v>29</v>
      </c>
      <c r="AM23" s="33">
        <v>22</v>
      </c>
      <c r="AN23" s="33">
        <v>15</v>
      </c>
      <c r="AO23" s="32">
        <f t="shared" si="0"/>
        <v>833</v>
      </c>
      <c r="AP23" s="26">
        <f t="shared" si="1"/>
        <v>49</v>
      </c>
    </row>
    <row r="24" spans="1:42" x14ac:dyDescent="0.25">
      <c r="A24" s="3">
        <v>16</v>
      </c>
      <c r="B24" s="27" t="str">
        <f>('1st Term'!B24)</f>
        <v>NWABUEZE FAVOUR</v>
      </c>
      <c r="C24" s="33">
        <v>28</v>
      </c>
      <c r="D24" s="33">
        <v>60</v>
      </c>
      <c r="E24" s="33">
        <v>30</v>
      </c>
      <c r="F24" s="33">
        <v>63</v>
      </c>
      <c r="G24" s="33">
        <v>30</v>
      </c>
      <c r="H24" s="33">
        <v>66</v>
      </c>
      <c r="I24" s="33">
        <v>22</v>
      </c>
      <c r="J24" s="33">
        <v>33</v>
      </c>
      <c r="K24" s="33">
        <v>30</v>
      </c>
      <c r="L24" s="33">
        <v>54</v>
      </c>
      <c r="M24" s="33">
        <v>19</v>
      </c>
      <c r="N24" s="33">
        <v>44</v>
      </c>
      <c r="O24" s="33">
        <v>25</v>
      </c>
      <c r="P24" s="33">
        <v>35</v>
      </c>
      <c r="Q24" s="33">
        <v>22</v>
      </c>
      <c r="R24" s="33">
        <v>40</v>
      </c>
      <c r="S24" s="34"/>
      <c r="T24" s="34"/>
      <c r="U24" s="33">
        <v>25</v>
      </c>
      <c r="V24" s="33">
        <v>52</v>
      </c>
      <c r="W24" s="33">
        <v>29</v>
      </c>
      <c r="X24" s="33">
        <v>65</v>
      </c>
      <c r="Y24" s="33">
        <v>23</v>
      </c>
      <c r="Z24" s="33">
        <v>47</v>
      </c>
      <c r="AA24" s="34"/>
      <c r="AB24" s="34"/>
      <c r="AC24" s="33">
        <v>30</v>
      </c>
      <c r="AD24" s="33">
        <v>52</v>
      </c>
      <c r="AE24" s="33">
        <v>20</v>
      </c>
      <c r="AF24" s="33">
        <v>54</v>
      </c>
      <c r="AG24" s="33">
        <v>27</v>
      </c>
      <c r="AH24" s="33">
        <v>40</v>
      </c>
      <c r="AI24" s="33">
        <v>28</v>
      </c>
      <c r="AJ24" s="33">
        <v>52</v>
      </c>
      <c r="AK24" s="33">
        <v>27</v>
      </c>
      <c r="AL24" s="33">
        <v>60</v>
      </c>
      <c r="AM24" s="33">
        <v>20</v>
      </c>
      <c r="AN24" s="33">
        <v>63</v>
      </c>
      <c r="AO24" s="32">
        <f t="shared" si="0"/>
        <v>1315</v>
      </c>
      <c r="AP24" s="26">
        <f t="shared" si="1"/>
        <v>77.352941176470594</v>
      </c>
    </row>
    <row r="25" spans="1:42" x14ac:dyDescent="0.25">
      <c r="A25" s="3">
        <v>17</v>
      </c>
      <c r="B25" s="27" t="str">
        <f>('1st Term'!B25)</f>
        <v>NWABUEZE VICTOR</v>
      </c>
      <c r="C25" s="33">
        <v>28</v>
      </c>
      <c r="D25" s="33">
        <v>26</v>
      </c>
      <c r="E25" s="33">
        <v>20</v>
      </c>
      <c r="F25" s="33">
        <v>61</v>
      </c>
      <c r="G25" s="33">
        <v>17</v>
      </c>
      <c r="H25" s="33">
        <v>48</v>
      </c>
      <c r="I25" s="33">
        <v>14</v>
      </c>
      <c r="J25" s="33">
        <v>12</v>
      </c>
      <c r="K25" s="33">
        <v>17</v>
      </c>
      <c r="L25" s="33">
        <v>26</v>
      </c>
      <c r="M25" s="33">
        <v>13</v>
      </c>
      <c r="N25" s="33">
        <v>13</v>
      </c>
      <c r="O25" s="33">
        <v>26</v>
      </c>
      <c r="P25" s="33">
        <v>27</v>
      </c>
      <c r="Q25" s="33">
        <v>19</v>
      </c>
      <c r="R25" s="33">
        <v>35</v>
      </c>
      <c r="S25" s="34"/>
      <c r="T25" s="34"/>
      <c r="U25" s="33">
        <v>14</v>
      </c>
      <c r="V25" s="33">
        <v>24</v>
      </c>
      <c r="W25" s="33">
        <v>22</v>
      </c>
      <c r="X25" s="33">
        <v>34</v>
      </c>
      <c r="Y25" s="33">
        <v>20</v>
      </c>
      <c r="Z25" s="33">
        <v>25</v>
      </c>
      <c r="AA25" s="34"/>
      <c r="AB25" s="34"/>
      <c r="AC25" s="33">
        <v>12</v>
      </c>
      <c r="AD25" s="33">
        <v>21</v>
      </c>
      <c r="AE25" s="33">
        <v>25</v>
      </c>
      <c r="AF25" s="33">
        <v>18</v>
      </c>
      <c r="AG25" s="33">
        <v>28</v>
      </c>
      <c r="AH25" s="33">
        <v>30</v>
      </c>
      <c r="AI25" s="33">
        <v>18</v>
      </c>
      <c r="AJ25" s="33">
        <v>22</v>
      </c>
      <c r="AK25" s="33">
        <v>21</v>
      </c>
      <c r="AL25" s="33">
        <v>43</v>
      </c>
      <c r="AM25" s="33">
        <v>17</v>
      </c>
      <c r="AN25" s="33">
        <v>30</v>
      </c>
      <c r="AO25" s="32">
        <f t="shared" si="0"/>
        <v>826</v>
      </c>
      <c r="AP25" s="26">
        <f t="shared" si="1"/>
        <v>48.588235294117645</v>
      </c>
    </row>
    <row r="26" spans="1:42" x14ac:dyDescent="0.25">
      <c r="A26" s="3">
        <v>18</v>
      </c>
      <c r="B26" s="27" t="str">
        <f>('1st Term'!B26)</f>
        <v>ONYINYECHI ANITA</v>
      </c>
      <c r="C26" s="33">
        <v>28</v>
      </c>
      <c r="D26" s="33">
        <v>60</v>
      </c>
      <c r="E26" s="33">
        <v>26</v>
      </c>
      <c r="F26" s="33">
        <v>55</v>
      </c>
      <c r="G26" s="33">
        <v>30</v>
      </c>
      <c r="H26" s="33">
        <v>69</v>
      </c>
      <c r="I26" s="33">
        <v>20</v>
      </c>
      <c r="J26" s="33">
        <v>35</v>
      </c>
      <c r="K26" s="33">
        <v>30</v>
      </c>
      <c r="L26" s="33">
        <v>59</v>
      </c>
      <c r="M26" s="33">
        <v>27</v>
      </c>
      <c r="N26" s="33">
        <v>31</v>
      </c>
      <c r="O26" s="33">
        <v>23</v>
      </c>
      <c r="P26" s="33">
        <v>38</v>
      </c>
      <c r="Q26" s="33">
        <v>29</v>
      </c>
      <c r="R26" s="33">
        <v>59</v>
      </c>
      <c r="S26" s="34"/>
      <c r="T26" s="34"/>
      <c r="U26" s="33">
        <v>16</v>
      </c>
      <c r="V26" s="33">
        <v>58</v>
      </c>
      <c r="W26" s="33">
        <v>29</v>
      </c>
      <c r="X26" s="33">
        <v>59</v>
      </c>
      <c r="Y26" s="33">
        <v>25</v>
      </c>
      <c r="Z26" s="33">
        <v>40</v>
      </c>
      <c r="AA26" s="34"/>
      <c r="AB26" s="34"/>
      <c r="AC26" s="33">
        <v>24</v>
      </c>
      <c r="AD26" s="33">
        <v>53</v>
      </c>
      <c r="AE26" s="33">
        <v>25</v>
      </c>
      <c r="AF26" s="33">
        <v>21</v>
      </c>
      <c r="AG26" s="33">
        <v>27</v>
      </c>
      <c r="AH26" s="33">
        <v>50</v>
      </c>
      <c r="AI26" s="33">
        <v>27</v>
      </c>
      <c r="AJ26" s="33">
        <v>43</v>
      </c>
      <c r="AK26" s="33">
        <v>20</v>
      </c>
      <c r="AL26" s="33">
        <v>65</v>
      </c>
      <c r="AM26" s="33">
        <v>25</v>
      </c>
      <c r="AN26" s="33">
        <v>50</v>
      </c>
      <c r="AO26" s="32">
        <f t="shared" si="0"/>
        <v>1276</v>
      </c>
      <c r="AP26" s="26">
        <f t="shared" si="1"/>
        <v>75.058823529411768</v>
      </c>
    </row>
    <row r="27" spans="1:42" x14ac:dyDescent="0.25">
      <c r="A27" s="3">
        <v>19</v>
      </c>
      <c r="B27" s="27" t="str">
        <f>('1st Term'!B27)</f>
        <v>ORIAKU BRIGHT</v>
      </c>
      <c r="C27" s="33">
        <v>28</v>
      </c>
      <c r="D27" s="33">
        <v>26</v>
      </c>
      <c r="E27" s="33">
        <v>24</v>
      </c>
      <c r="F27" s="33">
        <v>29</v>
      </c>
      <c r="G27" s="33">
        <v>30</v>
      </c>
      <c r="H27" s="33">
        <v>69</v>
      </c>
      <c r="I27" s="33">
        <v>17</v>
      </c>
      <c r="J27" s="33">
        <v>20</v>
      </c>
      <c r="K27" s="33">
        <v>21</v>
      </c>
      <c r="L27" s="33">
        <v>26</v>
      </c>
      <c r="M27" s="33">
        <v>16</v>
      </c>
      <c r="N27" s="33">
        <v>26</v>
      </c>
      <c r="O27" s="33">
        <v>20</v>
      </c>
      <c r="P27" s="33">
        <v>28</v>
      </c>
      <c r="Q27" s="33">
        <v>17</v>
      </c>
      <c r="R27" s="33">
        <v>22</v>
      </c>
      <c r="S27" s="34"/>
      <c r="T27" s="34"/>
      <c r="U27" s="33">
        <v>20</v>
      </c>
      <c r="V27" s="33">
        <v>55</v>
      </c>
      <c r="W27" s="33">
        <v>18</v>
      </c>
      <c r="X27" s="33">
        <v>23</v>
      </c>
      <c r="Y27" s="33">
        <v>23</v>
      </c>
      <c r="Z27" s="33">
        <v>38</v>
      </c>
      <c r="AA27" s="34"/>
      <c r="AB27" s="34"/>
      <c r="AC27" s="33">
        <v>12</v>
      </c>
      <c r="AD27" s="33">
        <v>26</v>
      </c>
      <c r="AE27" s="33">
        <v>20</v>
      </c>
      <c r="AF27" s="33">
        <v>53</v>
      </c>
      <c r="AG27" s="33">
        <v>27</v>
      </c>
      <c r="AH27" s="33">
        <v>35</v>
      </c>
      <c r="AI27" s="33">
        <v>26</v>
      </c>
      <c r="AJ27" s="33">
        <v>29</v>
      </c>
      <c r="AK27" s="33">
        <v>18</v>
      </c>
      <c r="AL27" s="33">
        <v>44</v>
      </c>
      <c r="AM27" s="33">
        <v>24</v>
      </c>
      <c r="AN27" s="33">
        <v>42</v>
      </c>
      <c r="AO27" s="32">
        <f t="shared" si="0"/>
        <v>952</v>
      </c>
      <c r="AP27" s="26">
        <f t="shared" si="1"/>
        <v>56</v>
      </c>
    </row>
    <row r="28" spans="1:42" x14ac:dyDescent="0.25">
      <c r="A28" s="3">
        <v>20</v>
      </c>
      <c r="B28" s="27" t="str">
        <f>('1st Term'!B28)</f>
        <v>SAKA FAREED</v>
      </c>
      <c r="C28" s="33">
        <v>30</v>
      </c>
      <c r="D28" s="33">
        <v>68</v>
      </c>
      <c r="E28" s="33">
        <v>30</v>
      </c>
      <c r="F28" s="33">
        <v>63</v>
      </c>
      <c r="G28" s="33">
        <v>30</v>
      </c>
      <c r="H28" s="33">
        <v>69</v>
      </c>
      <c r="I28" s="33">
        <v>20</v>
      </c>
      <c r="J28" s="33">
        <v>30</v>
      </c>
      <c r="K28" s="33">
        <v>23</v>
      </c>
      <c r="L28" s="33">
        <v>50</v>
      </c>
      <c r="M28" s="33">
        <v>23</v>
      </c>
      <c r="N28" s="33">
        <v>41</v>
      </c>
      <c r="O28" s="33">
        <v>26</v>
      </c>
      <c r="P28" s="33">
        <v>28</v>
      </c>
      <c r="Q28" s="33">
        <v>27</v>
      </c>
      <c r="R28" s="33">
        <v>65</v>
      </c>
      <c r="S28" s="34"/>
      <c r="T28" s="34"/>
      <c r="U28" s="33">
        <v>16</v>
      </c>
      <c r="V28" s="33">
        <v>33</v>
      </c>
      <c r="W28" s="33">
        <v>28</v>
      </c>
      <c r="X28" s="33">
        <v>56</v>
      </c>
      <c r="Y28" s="33">
        <v>24</v>
      </c>
      <c r="Z28" s="33">
        <v>46</v>
      </c>
      <c r="AA28" s="34"/>
      <c r="AB28" s="34"/>
      <c r="AC28" s="33">
        <v>19</v>
      </c>
      <c r="AD28" s="33">
        <v>33</v>
      </c>
      <c r="AE28" s="33">
        <v>30</v>
      </c>
      <c r="AF28" s="33">
        <v>64</v>
      </c>
      <c r="AG28" s="33">
        <v>30</v>
      </c>
      <c r="AH28" s="33">
        <v>64</v>
      </c>
      <c r="AI28" s="33">
        <v>24</v>
      </c>
      <c r="AJ28" s="33">
        <v>36</v>
      </c>
      <c r="AK28" s="33">
        <v>19</v>
      </c>
      <c r="AL28" s="33">
        <v>57</v>
      </c>
      <c r="AM28" s="33">
        <v>25</v>
      </c>
      <c r="AN28" s="33">
        <v>51</v>
      </c>
      <c r="AO28" s="32">
        <f t="shared" si="0"/>
        <v>1278</v>
      </c>
      <c r="AP28" s="26">
        <f t="shared" si="1"/>
        <v>75.17647058823529</v>
      </c>
    </row>
    <row r="29" spans="1:42" x14ac:dyDescent="0.25">
      <c r="A29" s="3">
        <v>21</v>
      </c>
      <c r="B29" s="27" t="str">
        <f>('1st Term'!B29)</f>
        <v>VICTOR LOVETH</v>
      </c>
      <c r="C29" s="33">
        <v>28</v>
      </c>
      <c r="D29" s="33">
        <v>62</v>
      </c>
      <c r="E29" s="33">
        <v>27</v>
      </c>
      <c r="F29" s="33">
        <v>61</v>
      </c>
      <c r="G29" s="33">
        <v>30</v>
      </c>
      <c r="H29" s="33">
        <v>64</v>
      </c>
      <c r="I29" s="33">
        <v>22</v>
      </c>
      <c r="J29" s="33">
        <v>43</v>
      </c>
      <c r="K29" s="33">
        <v>30</v>
      </c>
      <c r="L29" s="33">
        <v>62</v>
      </c>
      <c r="M29" s="33">
        <v>21</v>
      </c>
      <c r="N29" s="33">
        <v>20</v>
      </c>
      <c r="O29" s="33">
        <v>25</v>
      </c>
      <c r="P29" s="33">
        <v>45</v>
      </c>
      <c r="Q29" s="33">
        <v>22</v>
      </c>
      <c r="R29" s="33">
        <v>48</v>
      </c>
      <c r="S29" s="34"/>
      <c r="T29" s="34"/>
      <c r="U29" s="33">
        <v>27</v>
      </c>
      <c r="V29" s="33">
        <v>61</v>
      </c>
      <c r="W29" s="33">
        <v>29</v>
      </c>
      <c r="X29" s="33">
        <v>52</v>
      </c>
      <c r="Y29" s="33">
        <v>22</v>
      </c>
      <c r="Z29" s="33">
        <v>38</v>
      </c>
      <c r="AA29" s="34"/>
      <c r="AB29" s="34"/>
      <c r="AC29" s="33">
        <v>29</v>
      </c>
      <c r="AD29" s="33">
        <v>16</v>
      </c>
      <c r="AE29" s="33">
        <v>25</v>
      </c>
      <c r="AF29" s="33">
        <v>45</v>
      </c>
      <c r="AG29" s="33">
        <v>27</v>
      </c>
      <c r="AH29" s="33">
        <v>45</v>
      </c>
      <c r="AI29" s="33">
        <v>25</v>
      </c>
      <c r="AJ29" s="33">
        <v>29</v>
      </c>
      <c r="AK29" s="33">
        <v>25</v>
      </c>
      <c r="AL29" s="33">
        <v>45</v>
      </c>
      <c r="AM29" s="33">
        <v>27</v>
      </c>
      <c r="AN29" s="33">
        <v>47</v>
      </c>
      <c r="AO29" s="32">
        <f t="shared" si="0"/>
        <v>1224</v>
      </c>
      <c r="AP29" s="26">
        <f t="shared" si="1"/>
        <v>72</v>
      </c>
    </row>
    <row r="30" spans="1:42" x14ac:dyDescent="0.25">
      <c r="A30" s="3">
        <v>22</v>
      </c>
      <c r="B30" s="27" t="str">
        <f>('1st Term'!B30)</f>
        <v>WASIU NIMOTALLAH</v>
      </c>
      <c r="C30" s="33">
        <v>28</v>
      </c>
      <c r="D30" s="33">
        <v>28</v>
      </c>
      <c r="E30" s="33">
        <v>24</v>
      </c>
      <c r="F30" s="33">
        <v>60</v>
      </c>
      <c r="G30" s="33">
        <v>26</v>
      </c>
      <c r="H30" s="33">
        <v>47</v>
      </c>
      <c r="I30" s="33">
        <v>15</v>
      </c>
      <c r="J30" s="33">
        <v>20</v>
      </c>
      <c r="K30" s="33">
        <v>30</v>
      </c>
      <c r="L30" s="33">
        <v>45</v>
      </c>
      <c r="M30" s="33">
        <v>13</v>
      </c>
      <c r="N30" s="33">
        <v>34</v>
      </c>
      <c r="O30" s="33">
        <v>23</v>
      </c>
      <c r="P30" s="33">
        <v>36</v>
      </c>
      <c r="Q30" s="33">
        <v>18</v>
      </c>
      <c r="R30" s="33">
        <v>35</v>
      </c>
      <c r="S30" s="34"/>
      <c r="T30" s="34"/>
      <c r="U30" s="33">
        <v>21</v>
      </c>
      <c r="V30" s="33">
        <v>51</v>
      </c>
      <c r="W30" s="33">
        <v>16</v>
      </c>
      <c r="X30" s="33">
        <v>55</v>
      </c>
      <c r="Y30" s="33">
        <v>22</v>
      </c>
      <c r="Z30" s="33">
        <v>38</v>
      </c>
      <c r="AA30" s="34"/>
      <c r="AB30" s="34"/>
      <c r="AC30" s="33">
        <v>14</v>
      </c>
      <c r="AD30" s="33">
        <v>31</v>
      </c>
      <c r="AE30" s="33">
        <v>20</v>
      </c>
      <c r="AF30" s="33">
        <v>35</v>
      </c>
      <c r="AG30" s="33">
        <v>26</v>
      </c>
      <c r="AH30" s="33">
        <v>30</v>
      </c>
      <c r="AI30" s="33">
        <v>20</v>
      </c>
      <c r="AJ30" s="33">
        <v>32</v>
      </c>
      <c r="AK30" s="33">
        <v>13</v>
      </c>
      <c r="AL30" s="33">
        <v>29</v>
      </c>
      <c r="AM30" s="33">
        <v>26</v>
      </c>
      <c r="AN30" s="33">
        <v>66</v>
      </c>
      <c r="AO30" s="32">
        <f t="shared" si="0"/>
        <v>1027</v>
      </c>
      <c r="AP30" s="26">
        <f t="shared" si="1"/>
        <v>60.411764705882355</v>
      </c>
    </row>
    <row r="31" spans="1:42" x14ac:dyDescent="0.25">
      <c r="A31" s="3">
        <v>23</v>
      </c>
      <c r="B31" s="27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4"/>
      <c r="T31" s="34"/>
      <c r="U31" s="33"/>
      <c r="V31" s="33"/>
      <c r="W31" s="33"/>
      <c r="X31" s="33"/>
      <c r="Y31" s="33"/>
      <c r="Z31" s="33"/>
      <c r="AA31" s="34"/>
      <c r="AB31" s="34"/>
      <c r="AC31" s="33"/>
      <c r="AD31" s="33"/>
      <c r="AE31" s="33"/>
      <c r="AF31" s="33"/>
      <c r="AG31" s="34"/>
      <c r="AH31" s="34"/>
      <c r="AI31" s="33"/>
      <c r="AJ31" s="33"/>
      <c r="AK31" s="33"/>
      <c r="AL31" s="33"/>
      <c r="AM31" s="33"/>
      <c r="AN31" s="33"/>
      <c r="AO31" s="32">
        <f t="shared" si="0"/>
        <v>0</v>
      </c>
      <c r="AP31" s="26">
        <f t="shared" si="1"/>
        <v>0</v>
      </c>
    </row>
    <row r="32" spans="1:42" x14ac:dyDescent="0.25">
      <c r="A32" s="3">
        <v>24</v>
      </c>
      <c r="B32" s="27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4"/>
      <c r="T32" s="34"/>
      <c r="U32" s="33"/>
      <c r="V32" s="33"/>
      <c r="W32" s="33"/>
      <c r="X32" s="33"/>
      <c r="Y32" s="33"/>
      <c r="Z32" s="33"/>
      <c r="AA32" s="34"/>
      <c r="AB32" s="34"/>
      <c r="AC32" s="33"/>
      <c r="AD32" s="33"/>
      <c r="AE32" s="33"/>
      <c r="AF32" s="33"/>
      <c r="AG32" s="34"/>
      <c r="AH32" s="34"/>
      <c r="AI32" s="33"/>
      <c r="AJ32" s="33"/>
      <c r="AK32" s="33"/>
      <c r="AL32" s="33"/>
      <c r="AM32" s="33"/>
      <c r="AN32" s="33"/>
      <c r="AO32" s="32">
        <f t="shared" si="0"/>
        <v>0</v>
      </c>
      <c r="AP32" s="26">
        <f t="shared" si="1"/>
        <v>0</v>
      </c>
    </row>
    <row r="33" spans="1:42" x14ac:dyDescent="0.25">
      <c r="A33" s="3">
        <v>25</v>
      </c>
      <c r="B33" s="27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4"/>
      <c r="T33" s="34"/>
      <c r="U33" s="33"/>
      <c r="V33" s="33"/>
      <c r="W33" s="33"/>
      <c r="X33" s="33"/>
      <c r="Y33" s="33"/>
      <c r="Z33" s="33"/>
      <c r="AA33" s="34"/>
      <c r="AB33" s="34"/>
      <c r="AC33" s="33"/>
      <c r="AD33" s="33"/>
      <c r="AE33" s="33"/>
      <c r="AF33" s="33"/>
      <c r="AG33" s="34"/>
      <c r="AH33" s="34"/>
      <c r="AI33" s="33"/>
      <c r="AJ33" s="33"/>
      <c r="AK33" s="33"/>
      <c r="AL33" s="33"/>
      <c r="AM33" s="33"/>
      <c r="AN33" s="33"/>
      <c r="AO33" s="32">
        <f t="shared" si="0"/>
        <v>0</v>
      </c>
      <c r="AP33" s="26">
        <f t="shared" si="1"/>
        <v>0</v>
      </c>
    </row>
    <row r="34" spans="1:42" x14ac:dyDescent="0.25">
      <c r="A34" s="3">
        <v>26</v>
      </c>
      <c r="B34" s="27"/>
      <c r="C34" s="39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4"/>
      <c r="T34" s="34"/>
      <c r="U34" s="33"/>
      <c r="V34" s="33"/>
      <c r="W34" s="33"/>
      <c r="X34" s="33"/>
      <c r="Y34" s="33"/>
      <c r="Z34" s="33"/>
      <c r="AA34" s="34"/>
      <c r="AB34" s="34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2">
        <f t="shared" si="0"/>
        <v>0</v>
      </c>
      <c r="AP34" s="26">
        <f t="shared" si="1"/>
        <v>0</v>
      </c>
    </row>
    <row r="35" spans="1:42" x14ac:dyDescent="0.25">
      <c r="A35" s="3">
        <v>27</v>
      </c>
      <c r="B35" s="27"/>
      <c r="C35" s="39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4"/>
      <c r="T35" s="34"/>
      <c r="U35" s="33"/>
      <c r="V35" s="33"/>
      <c r="W35" s="33"/>
      <c r="X35" s="33"/>
      <c r="Y35" s="33"/>
      <c r="Z35" s="33"/>
      <c r="AA35" s="34"/>
      <c r="AB35" s="34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2">
        <f t="shared" si="0"/>
        <v>0</v>
      </c>
      <c r="AP35" s="26">
        <f t="shared" si="1"/>
        <v>0</v>
      </c>
    </row>
    <row r="36" spans="1:42" x14ac:dyDescent="0.25">
      <c r="A36" s="1">
        <v>28</v>
      </c>
      <c r="B36" s="27"/>
      <c r="C36" s="39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4"/>
      <c r="T36" s="34"/>
      <c r="U36" s="33"/>
      <c r="V36" s="33"/>
      <c r="W36" s="33"/>
      <c r="X36" s="33"/>
      <c r="Y36" s="33"/>
      <c r="Z36" s="33"/>
      <c r="AA36" s="34"/>
      <c r="AB36" s="34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71">
        <f t="shared" si="0"/>
        <v>0</v>
      </c>
      <c r="AP36" s="26">
        <f t="shared" si="1"/>
        <v>0</v>
      </c>
    </row>
    <row r="37" spans="1:42" x14ac:dyDescent="0.25">
      <c r="A37" s="1">
        <v>29</v>
      </c>
      <c r="B37" s="27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71">
        <f t="shared" si="0"/>
        <v>0</v>
      </c>
      <c r="AP37" s="26">
        <f t="shared" si="1"/>
        <v>0</v>
      </c>
    </row>
    <row r="38" spans="1:42" x14ac:dyDescent="0.25">
      <c r="A38" s="1">
        <v>30</v>
      </c>
      <c r="B38" s="27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71">
        <f t="shared" si="0"/>
        <v>0</v>
      </c>
      <c r="AP38" s="26">
        <f t="shared" si="1"/>
        <v>0</v>
      </c>
    </row>
    <row r="39" spans="1:42" x14ac:dyDescent="0.25">
      <c r="A39" s="1">
        <v>31</v>
      </c>
      <c r="B39" s="27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71">
        <f t="shared" si="0"/>
        <v>0</v>
      </c>
      <c r="AP39" s="26">
        <f t="shared" si="1"/>
        <v>0</v>
      </c>
    </row>
    <row r="40" spans="1:42" x14ac:dyDescent="0.25">
      <c r="A40" s="1">
        <v>32</v>
      </c>
      <c r="B40" s="27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71">
        <f t="shared" si="0"/>
        <v>0</v>
      </c>
      <c r="AP40" s="26">
        <f t="shared" si="1"/>
        <v>0</v>
      </c>
    </row>
    <row r="41" spans="1:42" x14ac:dyDescent="0.25">
      <c r="A41" s="1">
        <v>33</v>
      </c>
      <c r="B41" s="27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71">
        <f t="shared" si="0"/>
        <v>0</v>
      </c>
      <c r="AP41" s="26">
        <f t="shared" si="1"/>
        <v>0</v>
      </c>
    </row>
    <row r="42" spans="1:42" x14ac:dyDescent="0.25">
      <c r="A42" s="1">
        <v>34</v>
      </c>
      <c r="B42" s="27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71">
        <f t="shared" si="0"/>
        <v>0</v>
      </c>
      <c r="AP42" s="26">
        <f t="shared" si="1"/>
        <v>0</v>
      </c>
    </row>
    <row r="43" spans="1:42" x14ac:dyDescent="0.25">
      <c r="A43" s="1">
        <v>35</v>
      </c>
      <c r="B43" s="27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71">
        <f t="shared" si="0"/>
        <v>0</v>
      </c>
      <c r="AP43" s="26">
        <f t="shared" si="1"/>
        <v>0</v>
      </c>
    </row>
    <row r="44" spans="1:42" x14ac:dyDescent="0.25">
      <c r="A44" s="1">
        <v>36</v>
      </c>
      <c r="B44" s="27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71">
        <f t="shared" si="0"/>
        <v>0</v>
      </c>
      <c r="AP44" s="26">
        <f t="shared" si="1"/>
        <v>0</v>
      </c>
    </row>
    <row r="45" spans="1:42" x14ac:dyDescent="0.25">
      <c r="A45" s="1">
        <v>37</v>
      </c>
      <c r="B45" s="27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71">
        <f t="shared" si="0"/>
        <v>0</v>
      </c>
      <c r="AP45" s="26">
        <f t="shared" si="1"/>
        <v>0</v>
      </c>
    </row>
    <row r="46" spans="1:42" x14ac:dyDescent="0.25">
      <c r="A46" s="1">
        <v>38</v>
      </c>
      <c r="B46" s="27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71">
        <f t="shared" si="0"/>
        <v>0</v>
      </c>
      <c r="AP46" s="26">
        <f t="shared" si="1"/>
        <v>0</v>
      </c>
    </row>
    <row r="47" spans="1:42" x14ac:dyDescent="0.25">
      <c r="A47" s="1">
        <v>39</v>
      </c>
      <c r="B47" s="27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71">
        <f t="shared" si="0"/>
        <v>0</v>
      </c>
      <c r="AP47" s="26">
        <f t="shared" si="1"/>
        <v>0</v>
      </c>
    </row>
    <row r="48" spans="1:42" x14ac:dyDescent="0.25">
      <c r="A48" s="1">
        <v>40</v>
      </c>
      <c r="B48" s="27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71">
        <f t="shared" si="0"/>
        <v>0</v>
      </c>
      <c r="AP48" s="26">
        <f t="shared" si="1"/>
        <v>0</v>
      </c>
    </row>
  </sheetData>
  <sheetProtection algorithmName="SHA-512" hashValue="WpvqrSrJjLBE44Ww7OiTe+eTuJBDk6QB6WGGNeTdHWpN/pYVJ4A1rlbzWLy0/yOgEVKGXGdXyNQQUyyALBvs8Q==" saltValue="IzHndnUuWedsUPaHCPlMnw==" spinCount="100000" sheet="1" objects="1" scenarios="1"/>
  <mergeCells count="30">
    <mergeCell ref="AK7:AL7"/>
    <mergeCell ref="AM7:AN7"/>
    <mergeCell ref="AO7:AO8"/>
    <mergeCell ref="AP7:AP8"/>
    <mergeCell ref="Y7:Z7"/>
    <mergeCell ref="AA7:AB7"/>
    <mergeCell ref="AC7:AD7"/>
    <mergeCell ref="AE7:AF7"/>
    <mergeCell ref="AG7:AH7"/>
    <mergeCell ref="AI7:AJ7"/>
    <mergeCell ref="W7:X7"/>
    <mergeCell ref="A7:A8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A1:AP2"/>
    <mergeCell ref="A3:AP3"/>
    <mergeCell ref="A4:B4"/>
    <mergeCell ref="C4:AP4"/>
    <mergeCell ref="A5:A6"/>
    <mergeCell ref="B5:B6"/>
    <mergeCell ref="C5:AN6"/>
    <mergeCell ref="AO5:AP6"/>
  </mergeCells>
  <dataValidations count="2">
    <dataValidation type="whole" allowBlank="1" showInputMessage="1" showErrorMessage="1" errorTitle="Data Range Error" error="Value should be between 0 and 70" sqref="D9:D48 F9:F48 H9:H48 J9:J48 L9:L48 N9:N48 P9:P48 R9:R48 T9:T48 V9:V48 X9:X48 Z9:Z48 AB9:AB48 AD9:AD48 AF9:AF48 AH9:AH48 AJ9:AJ48 AL9:AL48 AN9:AN48" xr:uid="{FE97E49F-4C76-4D33-9930-77BE915BB009}">
      <formula1>0</formula1>
      <formula2>70</formula2>
    </dataValidation>
    <dataValidation type="whole" allowBlank="1" showInputMessage="1" showErrorMessage="1" errorTitle="Data Range Error" error="Value should be between 0 and 30" sqref="C9:C48 E9:E48 G9:G48 I9:I48 K9:K48 M9:M48 O9:O48 Q9:Q48 S9:S48 U9:U48 W9:W48 Y9:Y48 AA9:AA48 AC9:AC48 AE9:AE48 AG9:AG48 AI9:AI48 AK9:AK48 AM9:AM48" xr:uid="{0B893798-3B83-478F-8F0B-9A511C18210F}">
      <formula1>0</formula1>
      <formula2>30</formula2>
    </dataValidation>
  </dataValidations>
  <pageMargins left="0.25" right="0.25" top="0.75" bottom="0.75" header="0.3" footer="0.3"/>
  <pageSetup paperSize="9" scale="75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361DA-DD98-4E9D-8E78-BC7D9FF75484}">
  <sheetPr>
    <tabColor rgb="FF00B050"/>
    <pageSetUpPr fitToPage="1"/>
  </sheetPr>
  <dimension ref="A1:AP48"/>
  <sheetViews>
    <sheetView tabSelected="1"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N15" sqref="N15"/>
    </sheetView>
  </sheetViews>
  <sheetFormatPr defaultRowHeight="15" x14ac:dyDescent="0.25"/>
  <cols>
    <col min="1" max="1" width="5.28515625" bestFit="1" customWidth="1"/>
    <col min="2" max="2" width="35.28515625" customWidth="1"/>
    <col min="3" max="14" width="3.28515625" bestFit="1" customWidth="1"/>
    <col min="15" max="15" width="3.85546875" customWidth="1"/>
    <col min="16" max="16" width="4.7109375" customWidth="1"/>
    <col min="17" max="26" width="3.28515625" bestFit="1" customWidth="1"/>
    <col min="27" max="28" width="3.28515625" customWidth="1"/>
    <col min="29" max="32" width="3.28515625" bestFit="1" customWidth="1"/>
    <col min="33" max="33" width="4.28515625" customWidth="1"/>
    <col min="34" max="34" width="4.140625" customWidth="1"/>
    <col min="35" max="40" width="3.28515625" bestFit="1" customWidth="1"/>
    <col min="41" max="41" width="8.140625" customWidth="1"/>
    <col min="42" max="42" width="11.85546875" customWidth="1"/>
  </cols>
  <sheetData>
    <row r="1" spans="1:42" ht="15" customHeight="1" x14ac:dyDescent="0.25">
      <c r="A1" s="99" t="s">
        <v>183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</row>
    <row r="2" spans="1:42" ht="15" customHeight="1" x14ac:dyDescent="0.25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</row>
    <row r="3" spans="1:42" ht="18" x14ac:dyDescent="0.25">
      <c r="A3" s="102" t="s">
        <v>184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2"/>
      <c r="AP3" s="102"/>
    </row>
    <row r="4" spans="1:42" ht="15.75" x14ac:dyDescent="0.25">
      <c r="A4" s="95" t="s">
        <v>43</v>
      </c>
      <c r="B4" s="95"/>
      <c r="C4" s="101" t="s">
        <v>108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01"/>
    </row>
    <row r="5" spans="1:42" ht="15" customHeight="1" x14ac:dyDescent="0.25">
      <c r="A5" s="98"/>
      <c r="B5" s="97" t="s">
        <v>170</v>
      </c>
      <c r="C5" s="85" t="s">
        <v>107</v>
      </c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7"/>
      <c r="AO5" s="91" t="s">
        <v>57</v>
      </c>
      <c r="AP5" s="92"/>
    </row>
    <row r="6" spans="1:42" ht="15" customHeight="1" x14ac:dyDescent="0.25">
      <c r="A6" s="98"/>
      <c r="B6" s="97"/>
      <c r="C6" s="88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90"/>
      <c r="AO6" s="93"/>
      <c r="AP6" s="94"/>
    </row>
    <row r="7" spans="1:42" ht="81" customHeight="1" x14ac:dyDescent="0.25">
      <c r="A7" s="96" t="s">
        <v>0</v>
      </c>
      <c r="B7" s="6" t="s">
        <v>42</v>
      </c>
      <c r="C7" s="84" t="s">
        <v>6</v>
      </c>
      <c r="D7" s="84"/>
      <c r="E7" s="83" t="s">
        <v>3</v>
      </c>
      <c r="F7" s="83"/>
      <c r="G7" s="84" t="s">
        <v>4</v>
      </c>
      <c r="H7" s="84"/>
      <c r="I7" s="83" t="s">
        <v>5</v>
      </c>
      <c r="J7" s="83"/>
      <c r="K7" s="84" t="s">
        <v>7</v>
      </c>
      <c r="L7" s="84">
        <v>10</v>
      </c>
      <c r="M7" s="83" t="s">
        <v>8</v>
      </c>
      <c r="N7" s="83">
        <v>12</v>
      </c>
      <c r="O7" s="84" t="s">
        <v>9</v>
      </c>
      <c r="P7" s="84"/>
      <c r="Q7" s="83" t="s">
        <v>10</v>
      </c>
      <c r="R7" s="83"/>
      <c r="S7" s="84" t="s">
        <v>11</v>
      </c>
      <c r="T7" s="84"/>
      <c r="U7" s="83" t="s">
        <v>13</v>
      </c>
      <c r="V7" s="83"/>
      <c r="W7" s="84" t="s">
        <v>14</v>
      </c>
      <c r="X7" s="84"/>
      <c r="Y7" s="83" t="s">
        <v>15</v>
      </c>
      <c r="Z7" s="83"/>
      <c r="AA7" s="84" t="s">
        <v>22</v>
      </c>
      <c r="AB7" s="84"/>
      <c r="AC7" s="83" t="s">
        <v>16</v>
      </c>
      <c r="AD7" s="83"/>
      <c r="AE7" s="84" t="s">
        <v>17</v>
      </c>
      <c r="AF7" s="84"/>
      <c r="AG7" s="83" t="s">
        <v>18</v>
      </c>
      <c r="AH7" s="83"/>
      <c r="AI7" s="84" t="s">
        <v>19</v>
      </c>
      <c r="AJ7" s="84"/>
      <c r="AK7" s="83" t="s">
        <v>20</v>
      </c>
      <c r="AL7" s="83"/>
      <c r="AM7" s="84" t="s">
        <v>21</v>
      </c>
      <c r="AN7" s="84"/>
      <c r="AO7" s="100" t="s">
        <v>30</v>
      </c>
      <c r="AP7" s="84" t="s">
        <v>31</v>
      </c>
    </row>
    <row r="8" spans="1:42" ht="29.25" x14ac:dyDescent="0.25">
      <c r="A8" s="96"/>
      <c r="B8" s="38" t="s">
        <v>12</v>
      </c>
      <c r="C8" s="36" t="s">
        <v>1</v>
      </c>
      <c r="D8" s="35" t="s">
        <v>2</v>
      </c>
      <c r="E8" s="36" t="s">
        <v>1</v>
      </c>
      <c r="F8" s="35" t="s">
        <v>2</v>
      </c>
      <c r="G8" s="36" t="s">
        <v>1</v>
      </c>
      <c r="H8" s="35" t="s">
        <v>2</v>
      </c>
      <c r="I8" s="36" t="s">
        <v>1</v>
      </c>
      <c r="J8" s="35" t="s">
        <v>2</v>
      </c>
      <c r="K8" s="36" t="s">
        <v>1</v>
      </c>
      <c r="L8" s="35" t="s">
        <v>2</v>
      </c>
      <c r="M8" s="36" t="s">
        <v>1</v>
      </c>
      <c r="N8" s="35" t="s">
        <v>2</v>
      </c>
      <c r="O8" s="36" t="s">
        <v>1</v>
      </c>
      <c r="P8" s="35" t="s">
        <v>2</v>
      </c>
      <c r="Q8" s="36" t="s">
        <v>1</v>
      </c>
      <c r="R8" s="35" t="s">
        <v>2</v>
      </c>
      <c r="S8" s="36" t="s">
        <v>1</v>
      </c>
      <c r="T8" s="35" t="s">
        <v>2</v>
      </c>
      <c r="U8" s="36" t="s">
        <v>1</v>
      </c>
      <c r="V8" s="35" t="s">
        <v>2</v>
      </c>
      <c r="W8" s="36" t="s">
        <v>1</v>
      </c>
      <c r="X8" s="35" t="s">
        <v>2</v>
      </c>
      <c r="Y8" s="36" t="s">
        <v>1</v>
      </c>
      <c r="Z8" s="35" t="s">
        <v>2</v>
      </c>
      <c r="AA8" s="36" t="s">
        <v>1</v>
      </c>
      <c r="AB8" s="35" t="s">
        <v>2</v>
      </c>
      <c r="AC8" s="36" t="s">
        <v>1</v>
      </c>
      <c r="AD8" s="35" t="s">
        <v>2</v>
      </c>
      <c r="AE8" s="36" t="s">
        <v>1</v>
      </c>
      <c r="AF8" s="35" t="s">
        <v>2</v>
      </c>
      <c r="AG8" s="36" t="s">
        <v>1</v>
      </c>
      <c r="AH8" s="35" t="s">
        <v>2</v>
      </c>
      <c r="AI8" s="36" t="s">
        <v>1</v>
      </c>
      <c r="AJ8" s="35" t="s">
        <v>2</v>
      </c>
      <c r="AK8" s="36" t="s">
        <v>1</v>
      </c>
      <c r="AL8" s="35" t="s">
        <v>2</v>
      </c>
      <c r="AM8" s="36" t="s">
        <v>1</v>
      </c>
      <c r="AN8" s="35" t="s">
        <v>2</v>
      </c>
      <c r="AO8" s="100"/>
      <c r="AP8" s="84"/>
    </row>
    <row r="9" spans="1:42" x14ac:dyDescent="0.25">
      <c r="A9" s="3">
        <v>1</v>
      </c>
      <c r="B9" s="29" t="str">
        <f>('1st Term'!B9)</f>
        <v>ADAKARAZA SAMUEL</v>
      </c>
      <c r="C9" s="125">
        <v>24</v>
      </c>
      <c r="D9" s="81">
        <v>50</v>
      </c>
      <c r="E9" s="81">
        <v>22</v>
      </c>
      <c r="F9" s="81">
        <v>38</v>
      </c>
      <c r="G9" s="81">
        <v>27</v>
      </c>
      <c r="H9" s="81">
        <v>47</v>
      </c>
      <c r="I9" s="81">
        <v>24</v>
      </c>
      <c r="J9" s="81">
        <v>43</v>
      </c>
      <c r="K9" s="81">
        <v>21</v>
      </c>
      <c r="L9" s="81">
        <v>30</v>
      </c>
      <c r="M9" s="81">
        <v>25</v>
      </c>
      <c r="N9" s="81">
        <v>43</v>
      </c>
      <c r="O9" s="81">
        <v>28</v>
      </c>
      <c r="P9" s="81">
        <v>41</v>
      </c>
      <c r="Q9" s="81">
        <v>23</v>
      </c>
      <c r="R9" s="81">
        <v>32</v>
      </c>
      <c r="S9" s="82"/>
      <c r="T9" s="82"/>
      <c r="U9" s="81">
        <v>21</v>
      </c>
      <c r="V9" s="81">
        <v>48</v>
      </c>
      <c r="W9" s="81">
        <v>15</v>
      </c>
      <c r="X9" s="81">
        <v>42</v>
      </c>
      <c r="Y9" s="81">
        <v>24</v>
      </c>
      <c r="Z9" s="81">
        <v>40</v>
      </c>
      <c r="AA9" s="82"/>
      <c r="AB9" s="82"/>
      <c r="AC9" s="81">
        <v>21</v>
      </c>
      <c r="AD9" s="81">
        <v>20</v>
      </c>
      <c r="AE9" s="81">
        <v>29</v>
      </c>
      <c r="AF9" s="81">
        <v>40</v>
      </c>
      <c r="AG9" s="81">
        <v>24</v>
      </c>
      <c r="AH9" s="81">
        <v>44</v>
      </c>
      <c r="AI9" s="81">
        <v>23</v>
      </c>
      <c r="AJ9" s="81">
        <v>32</v>
      </c>
      <c r="AK9" s="81">
        <v>26</v>
      </c>
      <c r="AL9" s="81">
        <v>45</v>
      </c>
      <c r="AM9" s="81">
        <v>25</v>
      </c>
      <c r="AN9" s="81">
        <v>57</v>
      </c>
      <c r="AO9" s="32">
        <f>SUM(C9:AN9)</f>
        <v>1094</v>
      </c>
      <c r="AP9" s="26">
        <f>AO9/17</f>
        <v>64.352941176470594</v>
      </c>
    </row>
    <row r="10" spans="1:42" x14ac:dyDescent="0.25">
      <c r="A10" s="3">
        <v>2</v>
      </c>
      <c r="B10" s="29" t="str">
        <f>('1st Term'!B10)</f>
        <v>ADEOLA PEDRO</v>
      </c>
      <c r="C10" s="125">
        <v>21</v>
      </c>
      <c r="D10" s="81">
        <v>21</v>
      </c>
      <c r="E10" s="81">
        <v>20</v>
      </c>
      <c r="F10" s="81">
        <v>35</v>
      </c>
      <c r="G10" s="81">
        <v>13</v>
      </c>
      <c r="H10" s="81">
        <v>34</v>
      </c>
      <c r="I10" s="81">
        <v>25</v>
      </c>
      <c r="J10" s="81">
        <v>27</v>
      </c>
      <c r="K10" s="81">
        <v>14</v>
      </c>
      <c r="L10" s="81">
        <v>30</v>
      </c>
      <c r="M10" s="81">
        <v>22</v>
      </c>
      <c r="N10" s="81">
        <v>24</v>
      </c>
      <c r="O10" s="81">
        <v>23</v>
      </c>
      <c r="P10" s="81">
        <v>21</v>
      </c>
      <c r="Q10" s="81">
        <v>20</v>
      </c>
      <c r="R10" s="81">
        <v>37</v>
      </c>
      <c r="S10" s="82"/>
      <c r="T10" s="82"/>
      <c r="U10" s="81">
        <v>15</v>
      </c>
      <c r="V10" s="81">
        <v>27</v>
      </c>
      <c r="W10" s="81">
        <v>15</v>
      </c>
      <c r="X10" s="81">
        <v>17</v>
      </c>
      <c r="Y10" s="81">
        <v>9</v>
      </c>
      <c r="Z10" s="81">
        <v>27</v>
      </c>
      <c r="AA10" s="82"/>
      <c r="AB10" s="82"/>
      <c r="AC10" s="81">
        <v>19</v>
      </c>
      <c r="AD10" s="81">
        <v>12</v>
      </c>
      <c r="AE10" s="81">
        <v>29</v>
      </c>
      <c r="AF10" s="81">
        <v>16</v>
      </c>
      <c r="AG10" s="81">
        <v>21</v>
      </c>
      <c r="AH10" s="81">
        <v>18</v>
      </c>
      <c r="AI10" s="81">
        <v>16</v>
      </c>
      <c r="AJ10" s="81">
        <v>17</v>
      </c>
      <c r="AK10" s="81">
        <v>19</v>
      </c>
      <c r="AL10" s="81">
        <v>31</v>
      </c>
      <c r="AM10" s="81">
        <v>13</v>
      </c>
      <c r="AN10" s="81">
        <v>6</v>
      </c>
      <c r="AO10" s="32">
        <f t="shared" ref="AO10:AO48" si="0">SUM(C10:AN10)</f>
        <v>714</v>
      </c>
      <c r="AP10" s="26">
        <f t="shared" ref="AP10:AP48" si="1">AO10/17</f>
        <v>42</v>
      </c>
    </row>
    <row r="11" spans="1:42" x14ac:dyDescent="0.25">
      <c r="A11" s="3">
        <v>3</v>
      </c>
      <c r="B11" s="29" t="str">
        <f>('1st Term'!B11)</f>
        <v>ASAMS DANIELLA</v>
      </c>
      <c r="C11" s="125">
        <v>20</v>
      </c>
      <c r="D11" s="81">
        <v>32</v>
      </c>
      <c r="E11" s="81">
        <v>20</v>
      </c>
      <c r="F11" s="81">
        <v>21</v>
      </c>
      <c r="G11" s="81">
        <v>8</v>
      </c>
      <c r="H11" s="81">
        <v>33</v>
      </c>
      <c r="I11" s="81">
        <v>24</v>
      </c>
      <c r="J11" s="81">
        <v>36</v>
      </c>
      <c r="K11" s="81">
        <v>16</v>
      </c>
      <c r="L11" s="81">
        <v>34</v>
      </c>
      <c r="M11" s="81">
        <v>19</v>
      </c>
      <c r="N11" s="81">
        <v>35</v>
      </c>
      <c r="O11" s="81">
        <v>25</v>
      </c>
      <c r="P11" s="81">
        <v>23</v>
      </c>
      <c r="Q11" s="81">
        <v>15</v>
      </c>
      <c r="R11" s="81">
        <v>38</v>
      </c>
      <c r="S11" s="82"/>
      <c r="T11" s="82"/>
      <c r="U11" s="81">
        <v>15</v>
      </c>
      <c r="V11" s="81">
        <v>42</v>
      </c>
      <c r="W11" s="81">
        <v>23</v>
      </c>
      <c r="X11" s="81">
        <v>30</v>
      </c>
      <c r="Y11" s="81">
        <v>23</v>
      </c>
      <c r="Z11" s="81">
        <v>28</v>
      </c>
      <c r="AA11" s="82"/>
      <c r="AB11" s="82"/>
      <c r="AC11" s="81">
        <v>19</v>
      </c>
      <c r="AD11" s="81">
        <v>13</v>
      </c>
      <c r="AE11" s="81">
        <v>30</v>
      </c>
      <c r="AF11" s="81">
        <v>13</v>
      </c>
      <c r="AG11" s="81">
        <v>20</v>
      </c>
      <c r="AH11" s="81">
        <v>41</v>
      </c>
      <c r="AI11" s="81">
        <v>25</v>
      </c>
      <c r="AJ11" s="81">
        <v>27</v>
      </c>
      <c r="AK11" s="81">
        <v>24</v>
      </c>
      <c r="AL11" s="81">
        <v>46</v>
      </c>
      <c r="AM11" s="81">
        <v>9</v>
      </c>
      <c r="AN11" s="81">
        <v>24</v>
      </c>
      <c r="AO11" s="32">
        <f t="shared" si="0"/>
        <v>851</v>
      </c>
      <c r="AP11" s="26">
        <f t="shared" si="1"/>
        <v>50.058823529411768</v>
      </c>
    </row>
    <row r="12" spans="1:42" x14ac:dyDescent="0.25">
      <c r="A12" s="3">
        <v>4</v>
      </c>
      <c r="B12" s="29" t="str">
        <f>('1st Term'!B12)</f>
        <v>ASIBOR NANCY</v>
      </c>
      <c r="C12" s="125">
        <v>24</v>
      </c>
      <c r="D12" s="81">
        <v>49</v>
      </c>
      <c r="E12" s="81">
        <v>22</v>
      </c>
      <c r="F12" s="81">
        <v>46</v>
      </c>
      <c r="G12" s="81">
        <v>22</v>
      </c>
      <c r="H12" s="81">
        <v>42</v>
      </c>
      <c r="I12" s="81">
        <v>24</v>
      </c>
      <c r="J12" s="81">
        <v>41</v>
      </c>
      <c r="K12" s="81">
        <v>18</v>
      </c>
      <c r="L12" s="81">
        <v>37</v>
      </c>
      <c r="M12" s="81">
        <v>26</v>
      </c>
      <c r="N12" s="81">
        <v>47</v>
      </c>
      <c r="O12" s="81">
        <v>29</v>
      </c>
      <c r="P12" s="81">
        <v>39</v>
      </c>
      <c r="Q12" s="81">
        <v>15</v>
      </c>
      <c r="R12" s="81">
        <v>61</v>
      </c>
      <c r="S12" s="82"/>
      <c r="T12" s="82"/>
      <c r="U12" s="81">
        <v>18</v>
      </c>
      <c r="V12" s="81">
        <v>56</v>
      </c>
      <c r="W12" s="81">
        <v>26</v>
      </c>
      <c r="X12" s="81">
        <v>58</v>
      </c>
      <c r="Y12" s="81">
        <v>28</v>
      </c>
      <c r="Z12" s="81">
        <v>34</v>
      </c>
      <c r="AA12" s="82"/>
      <c r="AB12" s="82"/>
      <c r="AC12" s="81">
        <v>21</v>
      </c>
      <c r="AD12" s="81">
        <v>17</v>
      </c>
      <c r="AE12" s="81">
        <v>30</v>
      </c>
      <c r="AF12" s="81">
        <v>36</v>
      </c>
      <c r="AG12" s="81">
        <v>24</v>
      </c>
      <c r="AH12" s="81">
        <v>43</v>
      </c>
      <c r="AI12" s="81">
        <v>17</v>
      </c>
      <c r="AJ12" s="81">
        <v>40</v>
      </c>
      <c r="AK12" s="81">
        <v>26</v>
      </c>
      <c r="AL12" s="81">
        <v>56</v>
      </c>
      <c r="AM12" s="81">
        <v>17</v>
      </c>
      <c r="AN12" s="81">
        <v>33</v>
      </c>
      <c r="AO12" s="32">
        <f t="shared" si="0"/>
        <v>1122</v>
      </c>
      <c r="AP12" s="26">
        <f t="shared" si="1"/>
        <v>66</v>
      </c>
    </row>
    <row r="13" spans="1:42" x14ac:dyDescent="0.25">
      <c r="A13" s="3">
        <v>5</v>
      </c>
      <c r="B13" s="29" t="str">
        <f>('1st Term'!B13)</f>
        <v>BANKOLE AMEERAT</v>
      </c>
      <c r="C13" s="125">
        <v>21</v>
      </c>
      <c r="D13" s="81">
        <v>64</v>
      </c>
      <c r="E13" s="81">
        <v>24</v>
      </c>
      <c r="F13" s="81">
        <v>44</v>
      </c>
      <c r="G13" s="81">
        <v>19</v>
      </c>
      <c r="H13" s="81">
        <v>54</v>
      </c>
      <c r="I13" s="81">
        <v>23</v>
      </c>
      <c r="J13" s="81">
        <v>31</v>
      </c>
      <c r="K13" s="81">
        <v>16</v>
      </c>
      <c r="L13" s="81">
        <v>36</v>
      </c>
      <c r="M13" s="81">
        <v>19</v>
      </c>
      <c r="N13" s="81">
        <v>30</v>
      </c>
      <c r="O13" s="81">
        <v>25</v>
      </c>
      <c r="P13" s="81">
        <v>32</v>
      </c>
      <c r="Q13" s="81">
        <v>20</v>
      </c>
      <c r="R13" s="81">
        <v>50</v>
      </c>
      <c r="S13" s="82"/>
      <c r="T13" s="82"/>
      <c r="U13" s="81">
        <v>17</v>
      </c>
      <c r="V13" s="81">
        <v>42</v>
      </c>
      <c r="W13" s="81">
        <v>24</v>
      </c>
      <c r="X13" s="81">
        <v>44</v>
      </c>
      <c r="Y13" s="81">
        <v>20</v>
      </c>
      <c r="Z13" s="81">
        <v>38</v>
      </c>
      <c r="AA13" s="82"/>
      <c r="AB13" s="82"/>
      <c r="AC13" s="81">
        <v>15</v>
      </c>
      <c r="AD13" s="81">
        <v>24</v>
      </c>
      <c r="AE13" s="81">
        <v>28</v>
      </c>
      <c r="AF13" s="81">
        <v>26</v>
      </c>
      <c r="AG13" s="81">
        <v>21</v>
      </c>
      <c r="AH13" s="81">
        <v>55</v>
      </c>
      <c r="AI13" s="81">
        <v>26</v>
      </c>
      <c r="AJ13" s="81">
        <v>40</v>
      </c>
      <c r="AK13" s="81">
        <v>22</v>
      </c>
      <c r="AL13" s="81">
        <v>46</v>
      </c>
      <c r="AM13" s="81">
        <v>14</v>
      </c>
      <c r="AN13" s="81">
        <v>22</v>
      </c>
      <c r="AO13" s="32">
        <f t="shared" si="0"/>
        <v>1032</v>
      </c>
      <c r="AP13" s="26">
        <f t="shared" si="1"/>
        <v>60.705882352941174</v>
      </c>
    </row>
    <row r="14" spans="1:42" x14ac:dyDescent="0.25">
      <c r="A14" s="3">
        <v>6</v>
      </c>
      <c r="B14" s="29" t="str">
        <f>('1st Term'!B14)</f>
        <v>CHIEKEZIE MAXWELL</v>
      </c>
      <c r="C14" s="125">
        <v>20</v>
      </c>
      <c r="D14" s="81">
        <v>48</v>
      </c>
      <c r="E14" s="81">
        <v>24</v>
      </c>
      <c r="F14" s="81">
        <v>45</v>
      </c>
      <c r="G14" s="81">
        <v>18</v>
      </c>
      <c r="H14" s="81">
        <v>48</v>
      </c>
      <c r="I14" s="81">
        <v>26</v>
      </c>
      <c r="J14" s="81">
        <v>48</v>
      </c>
      <c r="K14" s="81">
        <v>19</v>
      </c>
      <c r="L14" s="81">
        <v>36</v>
      </c>
      <c r="M14" s="81">
        <v>29</v>
      </c>
      <c r="N14" s="81">
        <v>50</v>
      </c>
      <c r="O14" s="81">
        <v>28</v>
      </c>
      <c r="P14" s="81">
        <v>32</v>
      </c>
      <c r="Q14" s="81">
        <v>13</v>
      </c>
      <c r="R14" s="81">
        <v>45</v>
      </c>
      <c r="S14" s="82"/>
      <c r="T14" s="82"/>
      <c r="U14" s="81">
        <v>26</v>
      </c>
      <c r="V14" s="81">
        <v>46</v>
      </c>
      <c r="W14" s="81">
        <v>27</v>
      </c>
      <c r="X14" s="81">
        <v>59</v>
      </c>
      <c r="Y14" s="81">
        <v>25</v>
      </c>
      <c r="Z14" s="81">
        <v>45</v>
      </c>
      <c r="AA14" s="82"/>
      <c r="AB14" s="82"/>
      <c r="AC14" s="81">
        <v>22</v>
      </c>
      <c r="AD14" s="81">
        <v>34</v>
      </c>
      <c r="AE14" s="81">
        <v>28</v>
      </c>
      <c r="AF14" s="81">
        <v>24</v>
      </c>
      <c r="AG14" s="81">
        <v>20</v>
      </c>
      <c r="AH14" s="81">
        <v>58</v>
      </c>
      <c r="AI14" s="81">
        <v>21</v>
      </c>
      <c r="AJ14" s="81">
        <v>47</v>
      </c>
      <c r="AK14" s="81">
        <v>28</v>
      </c>
      <c r="AL14" s="81">
        <v>52</v>
      </c>
      <c r="AM14" s="81">
        <v>20</v>
      </c>
      <c r="AN14" s="81">
        <v>39</v>
      </c>
      <c r="AO14" s="32">
        <f t="shared" si="0"/>
        <v>1150</v>
      </c>
      <c r="AP14" s="26">
        <f t="shared" si="1"/>
        <v>67.647058823529406</v>
      </c>
    </row>
    <row r="15" spans="1:42" x14ac:dyDescent="0.25">
      <c r="A15" s="3">
        <v>7</v>
      </c>
      <c r="B15" s="29" t="str">
        <f>('1st Term'!B15)</f>
        <v>EDET MOSES</v>
      </c>
      <c r="C15" s="125">
        <v>22</v>
      </c>
      <c r="D15" s="81">
        <v>48</v>
      </c>
      <c r="E15" s="81">
        <v>15</v>
      </c>
      <c r="F15" s="81">
        <v>37</v>
      </c>
      <c r="G15" s="81">
        <v>19</v>
      </c>
      <c r="H15" s="81">
        <v>31</v>
      </c>
      <c r="I15" s="81">
        <v>20</v>
      </c>
      <c r="J15" s="81">
        <v>25</v>
      </c>
      <c r="K15" s="81">
        <v>15</v>
      </c>
      <c r="L15" s="81">
        <v>30</v>
      </c>
      <c r="M15" s="81">
        <v>19</v>
      </c>
      <c r="N15" s="81">
        <v>21</v>
      </c>
      <c r="O15" s="81">
        <v>25</v>
      </c>
      <c r="P15" s="81">
        <v>25</v>
      </c>
      <c r="Q15" s="81">
        <v>18</v>
      </c>
      <c r="R15" s="81">
        <v>21</v>
      </c>
      <c r="S15" s="82"/>
      <c r="T15" s="82"/>
      <c r="U15" s="81">
        <v>13</v>
      </c>
      <c r="V15" s="81">
        <v>23</v>
      </c>
      <c r="W15" s="81">
        <v>15</v>
      </c>
      <c r="X15" s="81">
        <v>51</v>
      </c>
      <c r="Y15" s="81">
        <v>25</v>
      </c>
      <c r="Z15" s="81">
        <v>25</v>
      </c>
      <c r="AA15" s="82"/>
      <c r="AB15" s="82"/>
      <c r="AC15" s="81">
        <v>15</v>
      </c>
      <c r="AD15" s="81">
        <v>12</v>
      </c>
      <c r="AE15" s="81">
        <v>30</v>
      </c>
      <c r="AF15" s="81">
        <v>21</v>
      </c>
      <c r="AG15" s="81">
        <v>22</v>
      </c>
      <c r="AH15" s="81">
        <v>30</v>
      </c>
      <c r="AI15" s="81">
        <v>19</v>
      </c>
      <c r="AJ15" s="81">
        <v>30</v>
      </c>
      <c r="AK15" s="81">
        <v>20</v>
      </c>
      <c r="AL15" s="81">
        <v>46</v>
      </c>
      <c r="AM15" s="81">
        <v>12</v>
      </c>
      <c r="AN15" s="81">
        <v>16</v>
      </c>
      <c r="AO15" s="32">
        <f t="shared" si="0"/>
        <v>816</v>
      </c>
      <c r="AP15" s="26">
        <f t="shared" si="1"/>
        <v>48</v>
      </c>
    </row>
    <row r="16" spans="1:42" x14ac:dyDescent="0.25">
      <c r="A16" s="3">
        <v>8</v>
      </c>
      <c r="B16" s="29" t="str">
        <f>('1st Term'!B16)</f>
        <v>ENEJOH PHINEHAS</v>
      </c>
      <c r="C16" s="125">
        <v>21</v>
      </c>
      <c r="D16" s="81">
        <v>64</v>
      </c>
      <c r="E16" s="81">
        <v>22</v>
      </c>
      <c r="F16" s="81">
        <v>45</v>
      </c>
      <c r="G16" s="81">
        <v>20</v>
      </c>
      <c r="H16" s="81">
        <v>48</v>
      </c>
      <c r="I16" s="81">
        <v>20</v>
      </c>
      <c r="J16" s="81">
        <v>32</v>
      </c>
      <c r="K16" s="81">
        <v>21</v>
      </c>
      <c r="L16" s="81">
        <v>30</v>
      </c>
      <c r="M16" s="81">
        <v>26</v>
      </c>
      <c r="N16" s="81">
        <v>46</v>
      </c>
      <c r="O16" s="81">
        <v>29</v>
      </c>
      <c r="P16" s="81">
        <v>22</v>
      </c>
      <c r="Q16" s="81">
        <v>22</v>
      </c>
      <c r="R16" s="81">
        <v>61</v>
      </c>
      <c r="S16" s="82"/>
      <c r="T16" s="82"/>
      <c r="U16" s="81">
        <v>22</v>
      </c>
      <c r="V16" s="81">
        <v>44</v>
      </c>
      <c r="W16" s="81">
        <v>17</v>
      </c>
      <c r="X16" s="81">
        <v>46</v>
      </c>
      <c r="Y16" s="81">
        <v>27</v>
      </c>
      <c r="Z16" s="81">
        <v>25</v>
      </c>
      <c r="AA16" s="82"/>
      <c r="AB16" s="82"/>
      <c r="AC16" s="81">
        <v>21</v>
      </c>
      <c r="AD16" s="81">
        <v>20</v>
      </c>
      <c r="AE16" s="81">
        <v>29</v>
      </c>
      <c r="AF16" s="81">
        <v>26</v>
      </c>
      <c r="AG16" s="81">
        <v>21</v>
      </c>
      <c r="AH16" s="81">
        <v>45</v>
      </c>
      <c r="AI16" s="81">
        <v>16</v>
      </c>
      <c r="AJ16" s="81">
        <v>15</v>
      </c>
      <c r="AK16" s="81">
        <v>28</v>
      </c>
      <c r="AL16" s="81">
        <v>51</v>
      </c>
      <c r="AM16" s="81">
        <v>23</v>
      </c>
      <c r="AN16" s="81">
        <v>32</v>
      </c>
      <c r="AO16" s="32">
        <f t="shared" si="0"/>
        <v>1037</v>
      </c>
      <c r="AP16" s="26">
        <f t="shared" si="1"/>
        <v>61</v>
      </c>
    </row>
    <row r="17" spans="1:42" x14ac:dyDescent="0.25">
      <c r="A17" s="3">
        <v>9</v>
      </c>
      <c r="B17" s="29" t="str">
        <f>('1st Term'!B17)</f>
        <v>EWELUKWA FAVOUR</v>
      </c>
      <c r="C17" s="125">
        <v>19</v>
      </c>
      <c r="D17" s="81">
        <v>24</v>
      </c>
      <c r="E17" s="81">
        <v>17</v>
      </c>
      <c r="F17" s="81">
        <v>31</v>
      </c>
      <c r="G17" s="81">
        <v>2</v>
      </c>
      <c r="H17" s="81">
        <v>16</v>
      </c>
      <c r="I17" s="81">
        <v>21</v>
      </c>
      <c r="J17" s="81">
        <v>15</v>
      </c>
      <c r="K17" s="81">
        <v>14</v>
      </c>
      <c r="L17" s="81">
        <v>30</v>
      </c>
      <c r="M17" s="81">
        <v>15</v>
      </c>
      <c r="N17" s="81">
        <v>17</v>
      </c>
      <c r="O17" s="81">
        <v>27</v>
      </c>
      <c r="P17" s="81">
        <v>21</v>
      </c>
      <c r="Q17" s="81">
        <v>11</v>
      </c>
      <c r="R17" s="81">
        <v>18</v>
      </c>
      <c r="S17" s="82"/>
      <c r="T17" s="82"/>
      <c r="U17" s="81">
        <v>16</v>
      </c>
      <c r="V17" s="81">
        <v>33</v>
      </c>
      <c r="W17" s="81">
        <v>15</v>
      </c>
      <c r="X17" s="81">
        <v>11</v>
      </c>
      <c r="Y17" s="81">
        <v>19</v>
      </c>
      <c r="Z17" s="81">
        <v>24</v>
      </c>
      <c r="AA17" s="82"/>
      <c r="AB17" s="82"/>
      <c r="AC17" s="81">
        <v>16</v>
      </c>
      <c r="AD17" s="81">
        <v>11</v>
      </c>
      <c r="AE17" s="81">
        <v>29</v>
      </c>
      <c r="AF17" s="81">
        <v>22</v>
      </c>
      <c r="AG17" s="81">
        <v>19</v>
      </c>
      <c r="AH17" s="81">
        <v>35</v>
      </c>
      <c r="AI17" s="81">
        <v>17</v>
      </c>
      <c r="AJ17" s="81">
        <v>26</v>
      </c>
      <c r="AK17" s="81">
        <v>16</v>
      </c>
      <c r="AL17" s="81">
        <v>27</v>
      </c>
      <c r="AM17" s="81">
        <v>18</v>
      </c>
      <c r="AN17" s="81">
        <v>19</v>
      </c>
      <c r="AO17" s="32">
        <f t="shared" si="0"/>
        <v>671</v>
      </c>
      <c r="AP17" s="26">
        <f t="shared" si="1"/>
        <v>39.470588235294116</v>
      </c>
    </row>
    <row r="18" spans="1:42" x14ac:dyDescent="0.25">
      <c r="A18" s="3">
        <v>10</v>
      </c>
      <c r="B18" s="29" t="str">
        <f>('1st Term'!B18)</f>
        <v>HAMMED OLAMIDE</v>
      </c>
      <c r="C18" s="125">
        <v>21</v>
      </c>
      <c r="D18" s="81">
        <v>31</v>
      </c>
      <c r="E18" s="81">
        <v>21</v>
      </c>
      <c r="F18" s="81">
        <v>47</v>
      </c>
      <c r="G18" s="81">
        <v>19</v>
      </c>
      <c r="H18" s="81">
        <v>45</v>
      </c>
      <c r="I18" s="81">
        <v>20</v>
      </c>
      <c r="J18" s="81">
        <v>25</v>
      </c>
      <c r="K18" s="81">
        <v>17</v>
      </c>
      <c r="L18" s="81">
        <v>32</v>
      </c>
      <c r="M18" s="81">
        <v>21</v>
      </c>
      <c r="N18" s="81">
        <v>46</v>
      </c>
      <c r="O18" s="81">
        <v>28</v>
      </c>
      <c r="P18" s="81">
        <v>30</v>
      </c>
      <c r="Q18" s="81">
        <v>13</v>
      </c>
      <c r="R18" s="81">
        <v>17</v>
      </c>
      <c r="S18" s="82"/>
      <c r="T18" s="82"/>
      <c r="U18" s="81">
        <v>30</v>
      </c>
      <c r="V18" s="81">
        <v>60</v>
      </c>
      <c r="W18" s="81">
        <v>27</v>
      </c>
      <c r="X18" s="81">
        <v>27</v>
      </c>
      <c r="Y18" s="81">
        <v>25</v>
      </c>
      <c r="Z18" s="81">
        <v>28</v>
      </c>
      <c r="AA18" s="82"/>
      <c r="AB18" s="82"/>
      <c r="AC18" s="81">
        <v>19</v>
      </c>
      <c r="AD18" s="81">
        <v>31</v>
      </c>
      <c r="AE18" s="81">
        <v>30</v>
      </c>
      <c r="AF18" s="81">
        <v>11</v>
      </c>
      <c r="AG18" s="81">
        <v>21</v>
      </c>
      <c r="AH18" s="81">
        <v>40</v>
      </c>
      <c r="AI18" s="81">
        <v>17</v>
      </c>
      <c r="AJ18" s="81">
        <v>26</v>
      </c>
      <c r="AK18" s="81">
        <v>24</v>
      </c>
      <c r="AL18" s="81">
        <v>43</v>
      </c>
      <c r="AM18" s="81">
        <v>3</v>
      </c>
      <c r="AN18" s="81">
        <v>8</v>
      </c>
      <c r="AO18" s="32">
        <f t="shared" si="0"/>
        <v>903</v>
      </c>
      <c r="AP18" s="26">
        <f t="shared" si="1"/>
        <v>53.117647058823529</v>
      </c>
    </row>
    <row r="19" spans="1:42" x14ac:dyDescent="0.25">
      <c r="A19" s="3">
        <v>11</v>
      </c>
      <c r="B19" s="29" t="str">
        <f>('1st Term'!B19)</f>
        <v>HAMZAT AKOREDE</v>
      </c>
      <c r="C19" s="125">
        <v>24</v>
      </c>
      <c r="D19" s="81">
        <v>53</v>
      </c>
      <c r="E19" s="81">
        <v>25</v>
      </c>
      <c r="F19" s="81">
        <v>38</v>
      </c>
      <c r="G19" s="81">
        <v>25</v>
      </c>
      <c r="H19" s="81">
        <v>30</v>
      </c>
      <c r="I19" s="81">
        <v>23</v>
      </c>
      <c r="J19" s="81">
        <v>43</v>
      </c>
      <c r="K19" s="81">
        <v>20</v>
      </c>
      <c r="L19" s="81">
        <v>36</v>
      </c>
      <c r="M19" s="81">
        <v>21</v>
      </c>
      <c r="N19" s="81">
        <v>37</v>
      </c>
      <c r="O19" s="81">
        <v>27</v>
      </c>
      <c r="P19" s="81">
        <v>40</v>
      </c>
      <c r="Q19" s="81">
        <v>23</v>
      </c>
      <c r="R19" s="81">
        <v>59</v>
      </c>
      <c r="S19" s="82"/>
      <c r="T19" s="82"/>
      <c r="U19" s="81">
        <v>17</v>
      </c>
      <c r="V19" s="81">
        <v>33</v>
      </c>
      <c r="W19" s="81">
        <v>26</v>
      </c>
      <c r="X19" s="81">
        <v>61</v>
      </c>
      <c r="Y19" s="81">
        <v>27</v>
      </c>
      <c r="Z19" s="81">
        <v>43</v>
      </c>
      <c r="AA19" s="82"/>
      <c r="AB19" s="82"/>
      <c r="AC19" s="81">
        <v>20</v>
      </c>
      <c r="AD19" s="81">
        <v>13</v>
      </c>
      <c r="AE19" s="81">
        <v>28</v>
      </c>
      <c r="AF19" s="81">
        <v>23</v>
      </c>
      <c r="AG19" s="81">
        <v>24</v>
      </c>
      <c r="AH19" s="81">
        <v>54</v>
      </c>
      <c r="AI19" s="81">
        <v>21</v>
      </c>
      <c r="AJ19" s="81">
        <v>45</v>
      </c>
      <c r="AK19" s="81">
        <v>27</v>
      </c>
      <c r="AL19" s="81">
        <v>54</v>
      </c>
      <c r="AM19" s="81">
        <v>20</v>
      </c>
      <c r="AN19" s="81">
        <v>36</v>
      </c>
      <c r="AO19" s="32">
        <f t="shared" si="0"/>
        <v>1096</v>
      </c>
      <c r="AP19" s="26">
        <f t="shared" si="1"/>
        <v>64.470588235294116</v>
      </c>
    </row>
    <row r="20" spans="1:42" x14ac:dyDescent="0.25">
      <c r="A20" s="3">
        <v>12</v>
      </c>
      <c r="B20" s="29" t="str">
        <f>('1st Term'!B20)</f>
        <v>JAMES DIVINE</v>
      </c>
      <c r="C20" s="125">
        <v>12</v>
      </c>
      <c r="D20" s="81">
        <v>14</v>
      </c>
      <c r="E20" s="81">
        <v>16</v>
      </c>
      <c r="F20" s="81">
        <v>27</v>
      </c>
      <c r="G20" s="81">
        <v>24</v>
      </c>
      <c r="H20" s="81">
        <v>28</v>
      </c>
      <c r="I20" s="81">
        <v>20</v>
      </c>
      <c r="J20" s="81">
        <v>26</v>
      </c>
      <c r="K20" s="81">
        <v>16</v>
      </c>
      <c r="L20" s="81">
        <v>30</v>
      </c>
      <c r="M20" s="81">
        <v>19</v>
      </c>
      <c r="N20" s="81">
        <v>21</v>
      </c>
      <c r="O20" s="81">
        <v>17</v>
      </c>
      <c r="P20" s="81">
        <v>6</v>
      </c>
      <c r="Q20" s="81">
        <v>19</v>
      </c>
      <c r="R20" s="81">
        <v>26</v>
      </c>
      <c r="S20" s="82"/>
      <c r="T20" s="82"/>
      <c r="U20" s="81">
        <v>15</v>
      </c>
      <c r="V20" s="81">
        <v>46</v>
      </c>
      <c r="W20" s="81">
        <v>18</v>
      </c>
      <c r="X20" s="81">
        <v>5</v>
      </c>
      <c r="Y20" s="81">
        <v>24</v>
      </c>
      <c r="Z20" s="81">
        <v>36</v>
      </c>
      <c r="AA20" s="82"/>
      <c r="AB20" s="82"/>
      <c r="AC20" s="81">
        <v>15</v>
      </c>
      <c r="AD20" s="81">
        <v>8</v>
      </c>
      <c r="AE20" s="81">
        <v>30</v>
      </c>
      <c r="AF20" s="81">
        <v>17</v>
      </c>
      <c r="AG20" s="81">
        <v>22</v>
      </c>
      <c r="AH20" s="81">
        <v>36</v>
      </c>
      <c r="AI20" s="81">
        <v>13</v>
      </c>
      <c r="AJ20" s="81">
        <v>16</v>
      </c>
      <c r="AK20" s="81">
        <v>16</v>
      </c>
      <c r="AL20" s="81">
        <v>26</v>
      </c>
      <c r="AM20" s="81">
        <v>11</v>
      </c>
      <c r="AN20" s="81">
        <v>10</v>
      </c>
      <c r="AO20" s="32">
        <f t="shared" si="0"/>
        <v>685</v>
      </c>
      <c r="AP20" s="26">
        <f t="shared" si="1"/>
        <v>40.294117647058826</v>
      </c>
    </row>
    <row r="21" spans="1:42" x14ac:dyDescent="0.25">
      <c r="A21" s="3">
        <v>13</v>
      </c>
      <c r="B21" s="29" t="str">
        <f>('1st Term'!B21)</f>
        <v>JOEL JOSHUA</v>
      </c>
      <c r="C21" s="125">
        <v>19</v>
      </c>
      <c r="D21" s="81">
        <v>25</v>
      </c>
      <c r="E21" s="81">
        <v>16</v>
      </c>
      <c r="F21" s="81">
        <v>13</v>
      </c>
      <c r="G21" s="81">
        <v>18</v>
      </c>
      <c r="H21" s="81">
        <v>23</v>
      </c>
      <c r="I21" s="81">
        <v>20</v>
      </c>
      <c r="J21" s="81">
        <v>21</v>
      </c>
      <c r="K21" s="81">
        <v>16</v>
      </c>
      <c r="L21" s="81">
        <v>30</v>
      </c>
      <c r="M21" s="81">
        <v>12</v>
      </c>
      <c r="N21" s="81">
        <v>34</v>
      </c>
      <c r="O21" s="81">
        <v>21</v>
      </c>
      <c r="P21" s="81">
        <v>22</v>
      </c>
      <c r="Q21" s="81">
        <v>21</v>
      </c>
      <c r="R21" s="81">
        <v>38</v>
      </c>
      <c r="S21" s="82"/>
      <c r="T21" s="82"/>
      <c r="U21" s="81">
        <v>14</v>
      </c>
      <c r="V21" s="81">
        <v>35</v>
      </c>
      <c r="W21" s="81">
        <v>17</v>
      </c>
      <c r="X21" s="81">
        <v>23</v>
      </c>
      <c r="Y21" s="81">
        <v>28</v>
      </c>
      <c r="Z21" s="81">
        <v>23</v>
      </c>
      <c r="AA21" s="82"/>
      <c r="AB21" s="82"/>
      <c r="AC21" s="81">
        <v>12</v>
      </c>
      <c r="AD21" s="81">
        <v>10</v>
      </c>
      <c r="AE21" s="81">
        <v>30</v>
      </c>
      <c r="AF21" s="81">
        <v>12</v>
      </c>
      <c r="AG21" s="81">
        <v>21</v>
      </c>
      <c r="AH21" s="81">
        <v>14</v>
      </c>
      <c r="AI21" s="81">
        <v>16</v>
      </c>
      <c r="AJ21" s="81">
        <v>13</v>
      </c>
      <c r="AK21" s="81">
        <v>14</v>
      </c>
      <c r="AL21" s="81">
        <v>25</v>
      </c>
      <c r="AM21" s="81">
        <v>4</v>
      </c>
      <c r="AN21" s="81">
        <v>23</v>
      </c>
      <c r="AO21" s="32">
        <f t="shared" si="0"/>
        <v>683</v>
      </c>
      <c r="AP21" s="26">
        <f t="shared" si="1"/>
        <v>40.176470588235297</v>
      </c>
    </row>
    <row r="22" spans="1:42" x14ac:dyDescent="0.25">
      <c r="A22" s="3">
        <v>14</v>
      </c>
      <c r="B22" s="29" t="str">
        <f>('1st Term'!B22)</f>
        <v>JOSIAH SUNDAY</v>
      </c>
      <c r="C22" s="125">
        <v>21</v>
      </c>
      <c r="D22" s="81">
        <v>49</v>
      </c>
      <c r="E22" s="81">
        <v>23</v>
      </c>
      <c r="F22" s="81">
        <v>53</v>
      </c>
      <c r="G22" s="81">
        <v>26</v>
      </c>
      <c r="H22" s="81">
        <v>64</v>
      </c>
      <c r="I22" s="81">
        <v>23</v>
      </c>
      <c r="J22" s="81">
        <v>48</v>
      </c>
      <c r="K22" s="81">
        <v>17</v>
      </c>
      <c r="L22" s="81">
        <v>40</v>
      </c>
      <c r="M22" s="81">
        <v>23</v>
      </c>
      <c r="N22" s="81">
        <v>47</v>
      </c>
      <c r="O22" s="81">
        <v>26</v>
      </c>
      <c r="P22" s="81">
        <v>38</v>
      </c>
      <c r="Q22" s="81">
        <v>24</v>
      </c>
      <c r="R22" s="81">
        <v>42</v>
      </c>
      <c r="S22" s="82"/>
      <c r="T22" s="82"/>
      <c r="U22" s="81">
        <v>20</v>
      </c>
      <c r="V22" s="81">
        <v>54</v>
      </c>
      <c r="W22" s="81">
        <v>24</v>
      </c>
      <c r="X22" s="81">
        <v>55</v>
      </c>
      <c r="Y22" s="81">
        <v>25</v>
      </c>
      <c r="Z22" s="81">
        <v>35</v>
      </c>
      <c r="AA22" s="82"/>
      <c r="AB22" s="82"/>
      <c r="AC22" s="81">
        <v>20</v>
      </c>
      <c r="AD22" s="81">
        <v>34</v>
      </c>
      <c r="AE22" s="81">
        <v>29</v>
      </c>
      <c r="AF22" s="81">
        <v>33</v>
      </c>
      <c r="AG22" s="81">
        <v>24</v>
      </c>
      <c r="AH22" s="81">
        <v>62</v>
      </c>
      <c r="AI22" s="81">
        <v>25</v>
      </c>
      <c r="AJ22" s="81">
        <v>41</v>
      </c>
      <c r="AK22" s="81">
        <v>21</v>
      </c>
      <c r="AL22" s="81">
        <v>58</v>
      </c>
      <c r="AM22" s="81">
        <v>23</v>
      </c>
      <c r="AN22" s="81">
        <v>35</v>
      </c>
      <c r="AO22" s="32">
        <f t="shared" si="0"/>
        <v>1182</v>
      </c>
      <c r="AP22" s="26">
        <f t="shared" si="1"/>
        <v>69.529411764705884</v>
      </c>
    </row>
    <row r="23" spans="1:42" x14ac:dyDescent="0.25">
      <c r="A23" s="3">
        <v>15</v>
      </c>
      <c r="B23" s="29" t="str">
        <f>('1st Term'!B23)</f>
        <v>KUFRE GOODNEWS</v>
      </c>
      <c r="C23" s="125">
        <v>21</v>
      </c>
      <c r="D23" s="81">
        <v>36</v>
      </c>
      <c r="E23" s="81">
        <v>20</v>
      </c>
      <c r="F23" s="81">
        <v>48</v>
      </c>
      <c r="G23" s="81">
        <v>11</v>
      </c>
      <c r="H23" s="81">
        <v>46</v>
      </c>
      <c r="I23" s="81">
        <v>21</v>
      </c>
      <c r="J23" s="81">
        <v>44</v>
      </c>
      <c r="K23" s="81">
        <v>18</v>
      </c>
      <c r="L23" s="81">
        <v>30</v>
      </c>
      <c r="M23" s="81">
        <v>15</v>
      </c>
      <c r="N23" s="81">
        <v>40</v>
      </c>
      <c r="O23" s="81">
        <v>25</v>
      </c>
      <c r="P23" s="81">
        <v>50</v>
      </c>
      <c r="Q23" s="81">
        <v>18</v>
      </c>
      <c r="R23" s="81">
        <v>31</v>
      </c>
      <c r="S23" s="82"/>
      <c r="T23" s="82"/>
      <c r="U23" s="81">
        <v>13</v>
      </c>
      <c r="V23" s="81">
        <v>53</v>
      </c>
      <c r="W23" s="81">
        <v>24</v>
      </c>
      <c r="X23" s="81">
        <v>63</v>
      </c>
      <c r="Y23" s="81">
        <v>26</v>
      </c>
      <c r="Z23" s="81">
        <v>34</v>
      </c>
      <c r="AA23" s="82"/>
      <c r="AB23" s="82"/>
      <c r="AC23" s="81">
        <v>15</v>
      </c>
      <c r="AD23" s="81">
        <v>30</v>
      </c>
      <c r="AE23" s="81">
        <v>28</v>
      </c>
      <c r="AF23" s="81">
        <v>40</v>
      </c>
      <c r="AG23" s="81">
        <v>21</v>
      </c>
      <c r="AH23" s="81">
        <v>24</v>
      </c>
      <c r="AI23" s="81">
        <v>17</v>
      </c>
      <c r="AJ23" s="81">
        <v>30</v>
      </c>
      <c r="AK23" s="81">
        <v>22</v>
      </c>
      <c r="AL23" s="81">
        <v>46</v>
      </c>
      <c r="AM23" s="81">
        <v>9</v>
      </c>
      <c r="AN23" s="81">
        <v>31</v>
      </c>
      <c r="AO23" s="32">
        <f t="shared" si="0"/>
        <v>1000</v>
      </c>
      <c r="AP23" s="26">
        <f t="shared" si="1"/>
        <v>58.823529411764703</v>
      </c>
    </row>
    <row r="24" spans="1:42" x14ac:dyDescent="0.25">
      <c r="A24" s="3">
        <v>16</v>
      </c>
      <c r="B24" s="29" t="str">
        <f>('1st Term'!B24)</f>
        <v>NWABUEZE FAVOUR</v>
      </c>
      <c r="C24" s="125">
        <v>24</v>
      </c>
      <c r="D24" s="81">
        <v>58</v>
      </c>
      <c r="E24" s="81">
        <v>23</v>
      </c>
      <c r="F24" s="81">
        <v>43</v>
      </c>
      <c r="G24" s="81">
        <v>20</v>
      </c>
      <c r="H24" s="81">
        <v>48</v>
      </c>
      <c r="I24" s="81">
        <v>20</v>
      </c>
      <c r="J24" s="81">
        <v>41</v>
      </c>
      <c r="K24" s="81">
        <v>15</v>
      </c>
      <c r="L24" s="81">
        <v>33</v>
      </c>
      <c r="M24" s="81">
        <v>18</v>
      </c>
      <c r="N24" s="81">
        <v>52</v>
      </c>
      <c r="O24" s="81">
        <v>24</v>
      </c>
      <c r="P24" s="81">
        <v>34</v>
      </c>
      <c r="Q24" s="81">
        <v>26</v>
      </c>
      <c r="R24" s="81">
        <v>50</v>
      </c>
      <c r="S24" s="82"/>
      <c r="T24" s="82"/>
      <c r="U24" s="81">
        <v>20</v>
      </c>
      <c r="V24" s="81">
        <v>48</v>
      </c>
      <c r="W24" s="81">
        <v>22</v>
      </c>
      <c r="X24" s="81">
        <v>55</v>
      </c>
      <c r="Y24" s="81">
        <v>26</v>
      </c>
      <c r="Z24" s="81">
        <v>34</v>
      </c>
      <c r="AA24" s="82"/>
      <c r="AB24" s="82"/>
      <c r="AC24" s="81">
        <v>19</v>
      </c>
      <c r="AD24" s="81">
        <v>16</v>
      </c>
      <c r="AE24" s="81">
        <v>29</v>
      </c>
      <c r="AF24" s="81">
        <v>22</v>
      </c>
      <c r="AG24" s="81">
        <v>24</v>
      </c>
      <c r="AH24" s="81">
        <v>42</v>
      </c>
      <c r="AI24" s="81">
        <v>19</v>
      </c>
      <c r="AJ24" s="81">
        <v>46</v>
      </c>
      <c r="AK24" s="81">
        <v>27</v>
      </c>
      <c r="AL24" s="81">
        <v>39</v>
      </c>
      <c r="AM24" s="81">
        <v>15</v>
      </c>
      <c r="AN24" s="81">
        <v>46</v>
      </c>
      <c r="AO24" s="32">
        <f t="shared" si="0"/>
        <v>1078</v>
      </c>
      <c r="AP24" s="26">
        <f t="shared" si="1"/>
        <v>63.411764705882355</v>
      </c>
    </row>
    <row r="25" spans="1:42" x14ac:dyDescent="0.25">
      <c r="A25" s="3">
        <v>17</v>
      </c>
      <c r="B25" s="29" t="str">
        <f>('1st Term'!B25)</f>
        <v>NWABUEZE VICTOR</v>
      </c>
      <c r="C25" s="125">
        <v>25</v>
      </c>
      <c r="D25" s="81">
        <v>59</v>
      </c>
      <c r="E25" s="81">
        <v>24</v>
      </c>
      <c r="F25" s="81">
        <v>43</v>
      </c>
      <c r="G25" s="81">
        <v>25</v>
      </c>
      <c r="H25" s="81">
        <v>50</v>
      </c>
      <c r="I25" s="81">
        <v>23</v>
      </c>
      <c r="J25" s="81">
        <v>39</v>
      </c>
      <c r="K25" s="81">
        <v>27</v>
      </c>
      <c r="L25" s="81">
        <v>41</v>
      </c>
      <c r="M25" s="81">
        <v>29</v>
      </c>
      <c r="N25" s="81">
        <v>48</v>
      </c>
      <c r="O25" s="81">
        <v>25</v>
      </c>
      <c r="P25" s="81">
        <v>30</v>
      </c>
      <c r="Q25" s="81">
        <v>18</v>
      </c>
      <c r="R25" s="81">
        <v>40</v>
      </c>
      <c r="S25" s="82"/>
      <c r="T25" s="82"/>
      <c r="U25" s="81">
        <v>21</v>
      </c>
      <c r="V25" s="81">
        <v>33</v>
      </c>
      <c r="W25" s="81">
        <v>27</v>
      </c>
      <c r="X25" s="81">
        <v>55</v>
      </c>
      <c r="Y25" s="81">
        <v>21</v>
      </c>
      <c r="Z25" s="81">
        <v>33</v>
      </c>
      <c r="AA25" s="82"/>
      <c r="AB25" s="82"/>
      <c r="AC25" s="81">
        <v>21</v>
      </c>
      <c r="AD25" s="81">
        <v>16</v>
      </c>
      <c r="AE25" s="81">
        <v>28</v>
      </c>
      <c r="AF25" s="81">
        <v>25</v>
      </c>
      <c r="AG25" s="81">
        <v>25</v>
      </c>
      <c r="AH25" s="81">
        <v>41</v>
      </c>
      <c r="AI25" s="81">
        <v>26</v>
      </c>
      <c r="AJ25" s="81">
        <v>36</v>
      </c>
      <c r="AK25" s="81">
        <v>26</v>
      </c>
      <c r="AL25" s="81">
        <v>44</v>
      </c>
      <c r="AM25" s="81">
        <v>21</v>
      </c>
      <c r="AN25" s="81">
        <v>42</v>
      </c>
      <c r="AO25" s="32">
        <f t="shared" si="0"/>
        <v>1087</v>
      </c>
      <c r="AP25" s="26">
        <f t="shared" si="1"/>
        <v>63.941176470588232</v>
      </c>
    </row>
    <row r="26" spans="1:42" x14ac:dyDescent="0.25">
      <c r="A26" s="3">
        <v>18</v>
      </c>
      <c r="B26" s="29" t="str">
        <f>('1st Term'!B26)</f>
        <v>ONYINYECHI ANITA</v>
      </c>
      <c r="C26" s="125">
        <v>21</v>
      </c>
      <c r="D26" s="81">
        <v>27</v>
      </c>
      <c r="E26" s="81">
        <v>16</v>
      </c>
      <c r="F26" s="81">
        <v>26</v>
      </c>
      <c r="G26" s="81">
        <v>16</v>
      </c>
      <c r="H26" s="81">
        <v>14</v>
      </c>
      <c r="I26" s="81">
        <v>22</v>
      </c>
      <c r="J26" s="81">
        <v>30</v>
      </c>
      <c r="K26" s="81">
        <v>15</v>
      </c>
      <c r="L26" s="81">
        <v>30</v>
      </c>
      <c r="M26" s="81">
        <v>19</v>
      </c>
      <c r="N26" s="81">
        <v>19</v>
      </c>
      <c r="O26" s="81">
        <v>24</v>
      </c>
      <c r="P26" s="81">
        <v>17</v>
      </c>
      <c r="Q26" s="81">
        <v>10</v>
      </c>
      <c r="R26" s="81">
        <v>18</v>
      </c>
      <c r="S26" s="82"/>
      <c r="T26" s="82"/>
      <c r="U26" s="81">
        <v>13</v>
      </c>
      <c r="V26" s="81">
        <v>23</v>
      </c>
      <c r="W26" s="81">
        <v>17</v>
      </c>
      <c r="X26" s="81">
        <v>19</v>
      </c>
      <c r="Y26" s="81">
        <v>18</v>
      </c>
      <c r="Z26" s="81">
        <v>13</v>
      </c>
      <c r="AA26" s="82"/>
      <c r="AB26" s="82"/>
      <c r="AC26" s="81">
        <v>17</v>
      </c>
      <c r="AD26" s="81">
        <v>5</v>
      </c>
      <c r="AE26" s="81">
        <v>30</v>
      </c>
      <c r="AF26" s="81">
        <v>16</v>
      </c>
      <c r="AG26" s="81">
        <v>21</v>
      </c>
      <c r="AH26" s="81">
        <v>20</v>
      </c>
      <c r="AI26" s="81">
        <v>16</v>
      </c>
      <c r="AJ26" s="81">
        <v>15</v>
      </c>
      <c r="AK26" s="81">
        <v>11</v>
      </c>
      <c r="AL26" s="81">
        <v>23</v>
      </c>
      <c r="AM26" s="81">
        <v>12</v>
      </c>
      <c r="AN26" s="81">
        <v>20</v>
      </c>
      <c r="AO26" s="32">
        <f t="shared" si="0"/>
        <v>633</v>
      </c>
      <c r="AP26" s="26">
        <f t="shared" si="1"/>
        <v>37.235294117647058</v>
      </c>
    </row>
    <row r="27" spans="1:42" x14ac:dyDescent="0.25">
      <c r="A27" s="3">
        <v>19</v>
      </c>
      <c r="B27" s="29" t="str">
        <f>('1st Term'!B27)</f>
        <v>ORIAKU BRIGHT</v>
      </c>
      <c r="C27" s="125">
        <v>21</v>
      </c>
      <c r="D27" s="81">
        <v>43</v>
      </c>
      <c r="E27" s="81">
        <v>19</v>
      </c>
      <c r="F27" s="81">
        <v>15</v>
      </c>
      <c r="G27" s="81">
        <v>17</v>
      </c>
      <c r="H27" s="81">
        <v>24</v>
      </c>
      <c r="I27" s="81">
        <v>20</v>
      </c>
      <c r="J27" s="81">
        <v>24</v>
      </c>
      <c r="K27" s="81">
        <v>15</v>
      </c>
      <c r="L27" s="81">
        <v>30</v>
      </c>
      <c r="M27" s="81">
        <v>17</v>
      </c>
      <c r="N27" s="81">
        <v>34</v>
      </c>
      <c r="O27" s="81">
        <v>17</v>
      </c>
      <c r="P27" s="81">
        <v>29</v>
      </c>
      <c r="Q27" s="81">
        <v>20</v>
      </c>
      <c r="R27" s="81">
        <v>38</v>
      </c>
      <c r="S27" s="82"/>
      <c r="T27" s="82"/>
      <c r="U27" s="81">
        <v>18</v>
      </c>
      <c r="V27" s="81">
        <v>43</v>
      </c>
      <c r="W27" s="81">
        <v>20</v>
      </c>
      <c r="X27" s="81">
        <v>27</v>
      </c>
      <c r="Y27" s="81">
        <v>22</v>
      </c>
      <c r="Z27" s="81">
        <v>38</v>
      </c>
      <c r="AA27" s="82"/>
      <c r="AB27" s="82"/>
      <c r="AC27" s="81">
        <v>19</v>
      </c>
      <c r="AD27" s="81">
        <v>12</v>
      </c>
      <c r="AE27" s="81">
        <v>30</v>
      </c>
      <c r="AF27" s="81">
        <v>16</v>
      </c>
      <c r="AG27" s="81">
        <v>21</v>
      </c>
      <c r="AH27" s="81">
        <v>35</v>
      </c>
      <c r="AI27" s="81">
        <v>17</v>
      </c>
      <c r="AJ27" s="81">
        <v>20</v>
      </c>
      <c r="AK27" s="81">
        <v>22</v>
      </c>
      <c r="AL27" s="81">
        <v>39</v>
      </c>
      <c r="AM27" s="81">
        <v>14</v>
      </c>
      <c r="AN27" s="81">
        <v>20</v>
      </c>
      <c r="AO27" s="32">
        <f t="shared" si="0"/>
        <v>816</v>
      </c>
      <c r="AP27" s="26">
        <f t="shared" si="1"/>
        <v>48</v>
      </c>
    </row>
    <row r="28" spans="1:42" x14ac:dyDescent="0.25">
      <c r="A28" s="3">
        <v>20</v>
      </c>
      <c r="B28" s="29" t="str">
        <f>('1st Term'!B28)</f>
        <v>SAKA FAREED</v>
      </c>
      <c r="C28" s="125">
        <v>20</v>
      </c>
      <c r="D28" s="81">
        <v>40</v>
      </c>
      <c r="E28" s="81">
        <v>15</v>
      </c>
      <c r="F28" s="81">
        <v>50</v>
      </c>
      <c r="G28" s="81">
        <v>12</v>
      </c>
      <c r="H28" s="81">
        <v>30</v>
      </c>
      <c r="I28" s="81">
        <v>20</v>
      </c>
      <c r="J28" s="81">
        <v>20</v>
      </c>
      <c r="K28" s="81">
        <v>14</v>
      </c>
      <c r="L28" s="81">
        <v>30</v>
      </c>
      <c r="M28" s="81">
        <v>20</v>
      </c>
      <c r="N28" s="81">
        <v>21</v>
      </c>
      <c r="O28" s="81">
        <v>26</v>
      </c>
      <c r="P28" s="81">
        <v>24</v>
      </c>
      <c r="Q28" s="81">
        <v>22</v>
      </c>
      <c r="R28" s="81">
        <v>51</v>
      </c>
      <c r="S28" s="82"/>
      <c r="T28" s="82"/>
      <c r="U28" s="81">
        <v>22</v>
      </c>
      <c r="V28" s="81">
        <v>35</v>
      </c>
      <c r="W28" s="81">
        <v>16</v>
      </c>
      <c r="X28" s="81">
        <v>27</v>
      </c>
      <c r="Y28" s="81">
        <v>18</v>
      </c>
      <c r="Z28" s="81">
        <v>23</v>
      </c>
      <c r="AA28" s="82"/>
      <c r="AB28" s="82"/>
      <c r="AC28" s="81">
        <v>19</v>
      </c>
      <c r="AD28" s="81">
        <v>24</v>
      </c>
      <c r="AE28" s="81">
        <v>29</v>
      </c>
      <c r="AF28" s="81">
        <v>28</v>
      </c>
      <c r="AG28" s="81">
        <v>20</v>
      </c>
      <c r="AH28" s="81">
        <v>36</v>
      </c>
      <c r="AI28" s="81">
        <v>20</v>
      </c>
      <c r="AJ28" s="81">
        <v>20</v>
      </c>
      <c r="AK28" s="81">
        <v>24</v>
      </c>
      <c r="AL28" s="81">
        <v>35</v>
      </c>
      <c r="AM28" s="81">
        <v>15</v>
      </c>
      <c r="AN28" s="81">
        <v>15</v>
      </c>
      <c r="AO28" s="32">
        <f t="shared" si="0"/>
        <v>841</v>
      </c>
      <c r="AP28" s="26">
        <f t="shared" si="1"/>
        <v>49.470588235294116</v>
      </c>
    </row>
    <row r="29" spans="1:42" x14ac:dyDescent="0.25">
      <c r="A29" s="3">
        <v>21</v>
      </c>
      <c r="B29" s="29" t="str">
        <f>('1st Term'!B29)</f>
        <v>VICTOR LOVETH</v>
      </c>
      <c r="C29" s="125">
        <v>19</v>
      </c>
      <c r="D29" s="81">
        <v>50</v>
      </c>
      <c r="E29" s="81">
        <v>17</v>
      </c>
      <c r="F29" s="81">
        <v>19</v>
      </c>
      <c r="G29" s="81">
        <v>16</v>
      </c>
      <c r="H29" s="81">
        <v>31</v>
      </c>
      <c r="I29" s="81">
        <v>21</v>
      </c>
      <c r="J29" s="81">
        <v>37</v>
      </c>
      <c r="K29" s="81">
        <v>15</v>
      </c>
      <c r="L29" s="81">
        <v>30</v>
      </c>
      <c r="M29" s="81">
        <v>15</v>
      </c>
      <c r="N29" s="81">
        <v>37</v>
      </c>
      <c r="O29" s="81">
        <v>17</v>
      </c>
      <c r="P29" s="81">
        <v>36</v>
      </c>
      <c r="Q29" s="81">
        <v>13</v>
      </c>
      <c r="R29" s="81">
        <v>31</v>
      </c>
      <c r="S29" s="82"/>
      <c r="T29" s="82"/>
      <c r="U29" s="81">
        <v>17</v>
      </c>
      <c r="V29" s="81">
        <v>41</v>
      </c>
      <c r="W29" s="81">
        <v>14</v>
      </c>
      <c r="X29" s="81">
        <v>36</v>
      </c>
      <c r="Y29" s="81">
        <v>22</v>
      </c>
      <c r="Z29" s="81">
        <v>38</v>
      </c>
      <c r="AA29" s="82"/>
      <c r="AB29" s="82"/>
      <c r="AC29" s="81">
        <v>21</v>
      </c>
      <c r="AD29" s="81">
        <v>16</v>
      </c>
      <c r="AE29" s="81">
        <v>29</v>
      </c>
      <c r="AF29" s="81">
        <v>43</v>
      </c>
      <c r="AG29" s="81">
        <v>19</v>
      </c>
      <c r="AH29" s="81">
        <v>39</v>
      </c>
      <c r="AI29" s="81">
        <v>17</v>
      </c>
      <c r="AJ29" s="81">
        <v>23</v>
      </c>
      <c r="AK29" s="81">
        <v>20</v>
      </c>
      <c r="AL29" s="81">
        <v>40</v>
      </c>
      <c r="AM29" s="81">
        <v>19</v>
      </c>
      <c r="AN29" s="81">
        <v>40</v>
      </c>
      <c r="AO29" s="32">
        <f t="shared" si="0"/>
        <v>898</v>
      </c>
      <c r="AP29" s="26">
        <f t="shared" si="1"/>
        <v>52.823529411764703</v>
      </c>
    </row>
    <row r="30" spans="1:42" x14ac:dyDescent="0.25">
      <c r="A30" s="3">
        <v>22</v>
      </c>
      <c r="B30" s="29" t="str">
        <f>('1st Term'!B30)</f>
        <v>WASIU NIMOTALLAH</v>
      </c>
      <c r="C30" s="125">
        <v>27</v>
      </c>
      <c r="D30" s="81">
        <v>62</v>
      </c>
      <c r="E30" s="81">
        <v>27</v>
      </c>
      <c r="F30" s="81">
        <v>60</v>
      </c>
      <c r="G30" s="81">
        <v>25</v>
      </c>
      <c r="H30" s="81">
        <v>59</v>
      </c>
      <c r="I30" s="81">
        <v>21</v>
      </c>
      <c r="J30" s="81">
        <v>48</v>
      </c>
      <c r="K30" s="81">
        <v>22</v>
      </c>
      <c r="L30" s="81">
        <v>38</v>
      </c>
      <c r="M30" s="81">
        <v>27</v>
      </c>
      <c r="N30" s="81">
        <v>45</v>
      </c>
      <c r="O30" s="81">
        <v>28</v>
      </c>
      <c r="P30" s="81">
        <v>40</v>
      </c>
      <c r="Q30" s="81">
        <v>28</v>
      </c>
      <c r="R30" s="81">
        <v>58</v>
      </c>
      <c r="S30" s="82"/>
      <c r="T30" s="82"/>
      <c r="U30" s="81">
        <v>23</v>
      </c>
      <c r="V30" s="81">
        <v>47</v>
      </c>
      <c r="W30" s="81">
        <v>22</v>
      </c>
      <c r="X30" s="81">
        <v>64</v>
      </c>
      <c r="Y30" s="81">
        <v>26</v>
      </c>
      <c r="Z30" s="81">
        <v>50</v>
      </c>
      <c r="AA30" s="82"/>
      <c r="AB30" s="82"/>
      <c r="AC30" s="81">
        <v>21</v>
      </c>
      <c r="AD30" s="81">
        <v>42</v>
      </c>
      <c r="AE30" s="81">
        <v>28</v>
      </c>
      <c r="AF30" s="81">
        <v>30</v>
      </c>
      <c r="AG30" s="81">
        <v>27</v>
      </c>
      <c r="AH30" s="81">
        <v>65</v>
      </c>
      <c r="AI30" s="81">
        <v>23</v>
      </c>
      <c r="AJ30" s="81">
        <v>51</v>
      </c>
      <c r="AK30" s="81">
        <v>27</v>
      </c>
      <c r="AL30" s="81">
        <v>50</v>
      </c>
      <c r="AM30" s="81">
        <v>23</v>
      </c>
      <c r="AN30" s="81">
        <v>39</v>
      </c>
      <c r="AO30" s="32">
        <f t="shared" si="0"/>
        <v>1273</v>
      </c>
      <c r="AP30" s="26">
        <f t="shared" si="1"/>
        <v>74.882352941176464</v>
      </c>
    </row>
    <row r="31" spans="1:42" x14ac:dyDescent="0.25">
      <c r="A31" s="3">
        <v>23</v>
      </c>
      <c r="B31" s="27"/>
      <c r="C31" s="124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4"/>
      <c r="T31" s="34"/>
      <c r="U31" s="33"/>
      <c r="V31" s="33"/>
      <c r="W31" s="33"/>
      <c r="X31" s="33"/>
      <c r="Y31" s="33"/>
      <c r="Z31" s="33"/>
      <c r="AA31" s="34"/>
      <c r="AB31" s="34"/>
      <c r="AC31" s="33"/>
      <c r="AD31" s="33"/>
      <c r="AE31" s="33"/>
      <c r="AF31" s="33"/>
      <c r="AG31" s="34"/>
      <c r="AH31" s="34"/>
      <c r="AI31" s="33"/>
      <c r="AJ31" s="33"/>
      <c r="AK31" s="33"/>
      <c r="AL31" s="33"/>
      <c r="AM31" s="33"/>
      <c r="AN31" s="33"/>
      <c r="AO31" s="32">
        <f t="shared" si="0"/>
        <v>0</v>
      </c>
      <c r="AP31" s="26">
        <f t="shared" si="1"/>
        <v>0</v>
      </c>
    </row>
    <row r="32" spans="1:42" x14ac:dyDescent="0.25">
      <c r="A32" s="3">
        <v>24</v>
      </c>
      <c r="B32" s="27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4"/>
      <c r="T32" s="34"/>
      <c r="U32" s="33"/>
      <c r="V32" s="33"/>
      <c r="W32" s="33"/>
      <c r="X32" s="33"/>
      <c r="Y32" s="33"/>
      <c r="Z32" s="33"/>
      <c r="AA32" s="34"/>
      <c r="AB32" s="34"/>
      <c r="AC32" s="33"/>
      <c r="AD32" s="33"/>
      <c r="AE32" s="33"/>
      <c r="AF32" s="33"/>
      <c r="AG32" s="34"/>
      <c r="AH32" s="34"/>
      <c r="AI32" s="33"/>
      <c r="AJ32" s="33"/>
      <c r="AK32" s="33"/>
      <c r="AL32" s="33"/>
      <c r="AM32" s="33"/>
      <c r="AN32" s="33"/>
      <c r="AO32" s="32">
        <f t="shared" si="0"/>
        <v>0</v>
      </c>
      <c r="AP32" s="26">
        <f t="shared" si="1"/>
        <v>0</v>
      </c>
    </row>
    <row r="33" spans="1:42" x14ac:dyDescent="0.25">
      <c r="A33" s="3">
        <v>25</v>
      </c>
      <c r="B33" s="27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4"/>
      <c r="T33" s="34"/>
      <c r="U33" s="33"/>
      <c r="V33" s="33"/>
      <c r="W33" s="33"/>
      <c r="X33" s="33"/>
      <c r="Y33" s="33"/>
      <c r="Z33" s="33"/>
      <c r="AA33" s="34"/>
      <c r="AB33" s="34"/>
      <c r="AC33" s="33"/>
      <c r="AD33" s="33"/>
      <c r="AE33" s="33"/>
      <c r="AF33" s="33"/>
      <c r="AG33" s="34"/>
      <c r="AH33" s="34"/>
      <c r="AI33" s="33"/>
      <c r="AJ33" s="33"/>
      <c r="AK33" s="33"/>
      <c r="AL33" s="33"/>
      <c r="AM33" s="33"/>
      <c r="AN33" s="33"/>
      <c r="AO33" s="32">
        <f t="shared" si="0"/>
        <v>0</v>
      </c>
      <c r="AP33" s="26">
        <f t="shared" si="1"/>
        <v>0</v>
      </c>
    </row>
    <row r="34" spans="1:42" x14ac:dyDescent="0.25">
      <c r="A34" s="3">
        <v>26</v>
      </c>
      <c r="B34" s="27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4"/>
      <c r="T34" s="34"/>
      <c r="U34" s="33"/>
      <c r="V34" s="33"/>
      <c r="W34" s="33"/>
      <c r="X34" s="33"/>
      <c r="Y34" s="33"/>
      <c r="Z34" s="33"/>
      <c r="AA34" s="34"/>
      <c r="AB34" s="34"/>
      <c r="AC34" s="33"/>
      <c r="AD34" s="33"/>
      <c r="AE34" s="33"/>
      <c r="AF34" s="33"/>
      <c r="AG34" s="34"/>
      <c r="AH34" s="34"/>
      <c r="AI34" s="33"/>
      <c r="AJ34" s="33"/>
      <c r="AK34" s="33"/>
      <c r="AL34" s="33"/>
      <c r="AM34" s="33"/>
      <c r="AN34" s="33"/>
      <c r="AO34" s="32">
        <f t="shared" si="0"/>
        <v>0</v>
      </c>
      <c r="AP34" s="26">
        <f t="shared" si="1"/>
        <v>0</v>
      </c>
    </row>
    <row r="35" spans="1:42" x14ac:dyDescent="0.25">
      <c r="A35" s="3">
        <v>27</v>
      </c>
      <c r="B35" s="27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4"/>
      <c r="T35" s="34"/>
      <c r="U35" s="33"/>
      <c r="V35" s="33"/>
      <c r="W35" s="33"/>
      <c r="X35" s="33"/>
      <c r="Y35" s="33"/>
      <c r="Z35" s="33"/>
      <c r="AA35" s="34"/>
      <c r="AB35" s="34"/>
      <c r="AC35" s="33"/>
      <c r="AD35" s="33"/>
      <c r="AE35" s="33"/>
      <c r="AF35" s="33"/>
      <c r="AG35" s="34"/>
      <c r="AH35" s="34"/>
      <c r="AI35" s="33"/>
      <c r="AJ35" s="33"/>
      <c r="AK35" s="33"/>
      <c r="AL35" s="33"/>
      <c r="AM35" s="33"/>
      <c r="AN35" s="33"/>
      <c r="AO35" s="32">
        <f t="shared" si="0"/>
        <v>0</v>
      </c>
      <c r="AP35" s="26">
        <f t="shared" si="1"/>
        <v>0</v>
      </c>
    </row>
    <row r="36" spans="1:42" x14ac:dyDescent="0.25">
      <c r="A36" s="1">
        <v>28</v>
      </c>
      <c r="B36" s="27"/>
      <c r="C36" s="39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4"/>
      <c r="T36" s="34"/>
      <c r="U36" s="33"/>
      <c r="V36" s="33"/>
      <c r="W36" s="33"/>
      <c r="X36" s="33"/>
      <c r="Y36" s="33"/>
      <c r="Z36" s="33"/>
      <c r="AA36" s="34"/>
      <c r="AB36" s="34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71">
        <f t="shared" si="0"/>
        <v>0</v>
      </c>
      <c r="AP36" s="26">
        <f t="shared" si="1"/>
        <v>0</v>
      </c>
    </row>
    <row r="37" spans="1:42" x14ac:dyDescent="0.25">
      <c r="A37" s="1">
        <v>29</v>
      </c>
      <c r="B37" s="27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71">
        <f t="shared" si="0"/>
        <v>0</v>
      </c>
      <c r="AP37" s="26">
        <f t="shared" si="1"/>
        <v>0</v>
      </c>
    </row>
    <row r="38" spans="1:42" x14ac:dyDescent="0.25">
      <c r="A38" s="1">
        <v>30</v>
      </c>
      <c r="B38" s="27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71">
        <f t="shared" si="0"/>
        <v>0</v>
      </c>
      <c r="AP38" s="26">
        <f t="shared" si="1"/>
        <v>0</v>
      </c>
    </row>
    <row r="39" spans="1:42" x14ac:dyDescent="0.25">
      <c r="A39" s="1">
        <v>31</v>
      </c>
      <c r="B39" s="27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71">
        <f t="shared" si="0"/>
        <v>0</v>
      </c>
      <c r="AP39" s="26">
        <f t="shared" si="1"/>
        <v>0</v>
      </c>
    </row>
    <row r="40" spans="1:42" x14ac:dyDescent="0.25">
      <c r="A40" s="1">
        <v>32</v>
      </c>
      <c r="B40" s="27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71">
        <f t="shared" si="0"/>
        <v>0</v>
      </c>
      <c r="AP40" s="26">
        <f t="shared" si="1"/>
        <v>0</v>
      </c>
    </row>
    <row r="41" spans="1:42" x14ac:dyDescent="0.25">
      <c r="A41" s="1">
        <v>33</v>
      </c>
      <c r="B41" s="27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71">
        <f t="shared" si="0"/>
        <v>0</v>
      </c>
      <c r="AP41" s="26">
        <f t="shared" si="1"/>
        <v>0</v>
      </c>
    </row>
    <row r="42" spans="1:42" x14ac:dyDescent="0.25">
      <c r="A42" s="1">
        <v>34</v>
      </c>
      <c r="B42" s="27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71">
        <f t="shared" si="0"/>
        <v>0</v>
      </c>
      <c r="AP42" s="26">
        <f t="shared" si="1"/>
        <v>0</v>
      </c>
    </row>
    <row r="43" spans="1:42" x14ac:dyDescent="0.25">
      <c r="A43" s="1">
        <v>35</v>
      </c>
      <c r="B43" s="27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71">
        <f t="shared" si="0"/>
        <v>0</v>
      </c>
      <c r="AP43" s="26">
        <f t="shared" si="1"/>
        <v>0</v>
      </c>
    </row>
    <row r="44" spans="1:42" x14ac:dyDescent="0.25">
      <c r="A44" s="1">
        <v>36</v>
      </c>
      <c r="B44" s="27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71">
        <f t="shared" si="0"/>
        <v>0</v>
      </c>
      <c r="AP44" s="26">
        <f t="shared" si="1"/>
        <v>0</v>
      </c>
    </row>
    <row r="45" spans="1:42" x14ac:dyDescent="0.25">
      <c r="A45" s="1">
        <v>37</v>
      </c>
      <c r="B45" s="27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71">
        <f t="shared" si="0"/>
        <v>0</v>
      </c>
      <c r="AP45" s="26">
        <f t="shared" si="1"/>
        <v>0</v>
      </c>
    </row>
    <row r="46" spans="1:42" x14ac:dyDescent="0.25">
      <c r="A46" s="1">
        <v>38</v>
      </c>
      <c r="B46" s="27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71">
        <f t="shared" si="0"/>
        <v>0</v>
      </c>
      <c r="AP46" s="26">
        <f t="shared" si="1"/>
        <v>0</v>
      </c>
    </row>
    <row r="47" spans="1:42" x14ac:dyDescent="0.25">
      <c r="A47" s="1">
        <v>39</v>
      </c>
      <c r="B47" s="27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71">
        <f t="shared" si="0"/>
        <v>0</v>
      </c>
      <c r="AP47" s="26">
        <f t="shared" si="1"/>
        <v>0</v>
      </c>
    </row>
    <row r="48" spans="1:42" x14ac:dyDescent="0.25">
      <c r="A48" s="1">
        <v>40</v>
      </c>
      <c r="B48" s="27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71">
        <f t="shared" si="0"/>
        <v>0</v>
      </c>
      <c r="AP48" s="26">
        <f t="shared" si="1"/>
        <v>0</v>
      </c>
    </row>
  </sheetData>
  <sheetProtection algorithmName="SHA-512" hashValue="laaxUkPXotVOPIam5fMfPktU2zvHC4NvJIluHJHfwaF0/OtXrmLQNM0l8pXKpCLjWB+yNe6SfA5HcJ18VMlN0w==" saltValue="oBVtM/U/UOPCqsHncLh0Ag==" spinCount="100000" sheet="1" objects="1" scenarios="1"/>
  <mergeCells count="30">
    <mergeCell ref="AK7:AL7"/>
    <mergeCell ref="AM7:AN7"/>
    <mergeCell ref="AO7:AO8"/>
    <mergeCell ref="AP7:AP8"/>
    <mergeCell ref="Y7:Z7"/>
    <mergeCell ref="AA7:AB7"/>
    <mergeCell ref="AC7:AD7"/>
    <mergeCell ref="AE7:AF7"/>
    <mergeCell ref="AG7:AH7"/>
    <mergeCell ref="AI7:AJ7"/>
    <mergeCell ref="W7:X7"/>
    <mergeCell ref="A7:A8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A1:AP2"/>
    <mergeCell ref="A3:AP3"/>
    <mergeCell ref="A4:B4"/>
    <mergeCell ref="C4:AP4"/>
    <mergeCell ref="A5:A6"/>
    <mergeCell ref="B5:B6"/>
    <mergeCell ref="C5:AN6"/>
    <mergeCell ref="AO5:AP6"/>
  </mergeCells>
  <dataValidations count="2">
    <dataValidation type="whole" allowBlank="1" showInputMessage="1" showErrorMessage="1" errorTitle="Data Range Error" error="Value should be between 0 and 30" sqref="E31:E48 G31:G48 I31:I48 K31:K48 M31:M48 O31:O48 Q31:Q48 S31:S48 U31:U48 W31:W48 Y31:Y48 AA31:AA48 AC31:AC48 AE31:AE48 AG31:AG48 AI31:AI48 AK31:AK48 AM31:AM48 C31:C48" xr:uid="{FBF8D76A-1284-43C1-BECB-638C0F6CEB48}">
      <formula1>0</formula1>
      <formula2>30</formula2>
    </dataValidation>
    <dataValidation type="whole" allowBlank="1" showInputMessage="1" showErrorMessage="1" errorTitle="Data Range Error" error="Value should be between 0 and 70" sqref="F31:F48 H31:H48 J31:J48 L31:L48 N31:N48 P31:P48 R31:R48 T31:T48 V31:V48 X31:X48 Z31:Z48 AB31:AB48 AD31:AD48 AF31:AF48 AH31:AH48 AJ31:AJ48 AL31:AL48 AN31:AN48 D31:D48" xr:uid="{88A1E97C-249E-4315-9481-77194F7DDD78}">
      <formula1>0</formula1>
      <formula2>70</formula2>
    </dataValidation>
  </dataValidations>
  <pageMargins left="0.25" right="0.25" top="0.75" bottom="0.75" header="0.3" footer="0.3"/>
  <pageSetup paperSize="9" scale="7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BB52"/>
  <sheetViews>
    <sheetView zoomScaleNormal="100" workbookViewId="0">
      <pane xSplit="6" ySplit="7" topLeftCell="G8" activePane="bottomRight" state="frozen"/>
      <selection pane="topRight" activeCell="G1" sqref="G1"/>
      <selection pane="bottomLeft" activeCell="A8" sqref="A8"/>
      <selection pane="bottomRight" activeCell="E8" sqref="E8"/>
    </sheetView>
  </sheetViews>
  <sheetFormatPr defaultRowHeight="15" x14ac:dyDescent="0.25"/>
  <cols>
    <col min="1" max="1" width="5.28515625" bestFit="1" customWidth="1"/>
    <col min="2" max="2" width="36.7109375" customWidth="1"/>
    <col min="3" max="3" width="16" bestFit="1" customWidth="1"/>
    <col min="4" max="4" width="9.42578125" style="5" bestFit="1" customWidth="1"/>
    <col min="5" max="5" width="9.85546875" style="5" customWidth="1"/>
    <col min="6" max="6" width="8.7109375" style="5" customWidth="1"/>
    <col min="7" max="52" width="9.85546875" style="5" customWidth="1"/>
    <col min="53" max="53" width="70.5703125" bestFit="1" customWidth="1"/>
    <col min="54" max="54" width="97.5703125" bestFit="1" customWidth="1"/>
  </cols>
  <sheetData>
    <row r="1" spans="1:54" ht="15" customHeight="1" x14ac:dyDescent="0.4">
      <c r="A1" s="99" t="s">
        <v>185</v>
      </c>
      <c r="B1" s="99"/>
      <c r="C1" s="99"/>
      <c r="D1" s="99"/>
      <c r="E1" s="99"/>
      <c r="F1" s="99"/>
      <c r="G1" s="9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60"/>
      <c r="AX1" s="60"/>
      <c r="AY1" s="60"/>
      <c r="AZ1" s="60"/>
      <c r="BA1" s="105" t="s">
        <v>23</v>
      </c>
      <c r="BB1" s="105"/>
    </row>
    <row r="2" spans="1:54" ht="15" customHeight="1" x14ac:dyDescent="0.4">
      <c r="A2" s="99"/>
      <c r="B2" s="99"/>
      <c r="C2" s="99"/>
      <c r="D2" s="99"/>
      <c r="E2" s="99"/>
      <c r="F2" s="99"/>
      <c r="G2" s="9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60"/>
      <c r="AX2" s="60"/>
      <c r="AY2" s="60"/>
      <c r="AZ2" s="60"/>
      <c r="BA2" s="105"/>
      <c r="BB2" s="105"/>
    </row>
    <row r="3" spans="1:54" ht="18" x14ac:dyDescent="0.25">
      <c r="A3" s="102" t="s">
        <v>184</v>
      </c>
      <c r="B3" s="102"/>
      <c r="C3" s="102"/>
      <c r="D3" s="102"/>
      <c r="E3" s="102"/>
      <c r="F3" s="102"/>
      <c r="G3" s="102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2"/>
      <c r="AX3" s="62"/>
      <c r="AY3" s="62"/>
      <c r="AZ3" s="62"/>
      <c r="BA3" s="105"/>
      <c r="BB3" s="105"/>
    </row>
    <row r="4" spans="1:54" ht="15.75" x14ac:dyDescent="0.25">
      <c r="A4" s="95" t="s">
        <v>43</v>
      </c>
      <c r="B4" s="95"/>
      <c r="C4" s="101" t="s">
        <v>108</v>
      </c>
      <c r="D4" s="101"/>
      <c r="E4" s="101"/>
      <c r="F4" s="101"/>
      <c r="G4" s="101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4"/>
      <c r="AX4" s="64"/>
      <c r="AY4" s="64"/>
      <c r="AZ4" s="64"/>
      <c r="BA4" s="105"/>
      <c r="BB4" s="105"/>
    </row>
    <row r="5" spans="1:54" ht="30" customHeight="1" x14ac:dyDescent="0.25">
      <c r="A5" s="106" t="s">
        <v>0</v>
      </c>
      <c r="B5" s="97" t="s">
        <v>170</v>
      </c>
      <c r="C5" s="24" t="s">
        <v>24</v>
      </c>
      <c r="D5" s="24" t="s">
        <v>55</v>
      </c>
      <c r="E5" s="104" t="s">
        <v>56</v>
      </c>
      <c r="F5" s="104"/>
      <c r="G5" s="104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6"/>
      <c r="AX5" s="66"/>
      <c r="AY5" s="66"/>
      <c r="AZ5" s="66"/>
      <c r="BA5" s="105"/>
      <c r="BB5" s="105"/>
    </row>
    <row r="6" spans="1:54" ht="27" customHeight="1" x14ac:dyDescent="0.25">
      <c r="A6" s="107"/>
      <c r="B6" s="97"/>
      <c r="C6" s="21">
        <v>110</v>
      </c>
      <c r="D6" s="21">
        <v>22</v>
      </c>
      <c r="E6" s="109" t="s">
        <v>169</v>
      </c>
      <c r="F6" s="109"/>
      <c r="G6" s="109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8"/>
      <c r="AX6" s="68"/>
      <c r="AY6" s="68"/>
      <c r="AZ6" s="68"/>
      <c r="BA6" s="105"/>
      <c r="BB6" s="105"/>
    </row>
    <row r="7" spans="1:54" ht="91.5" customHeight="1" x14ac:dyDescent="0.25">
      <c r="A7" s="108"/>
      <c r="B7" s="22" t="s">
        <v>12</v>
      </c>
      <c r="C7" s="23" t="s">
        <v>25</v>
      </c>
      <c r="D7" s="23" t="s">
        <v>28</v>
      </c>
      <c r="E7" s="23" t="s">
        <v>29</v>
      </c>
      <c r="F7" s="58" t="s">
        <v>178</v>
      </c>
      <c r="G7" s="80" t="s">
        <v>182</v>
      </c>
      <c r="H7" s="104" t="s">
        <v>26</v>
      </c>
      <c r="I7" s="104"/>
      <c r="J7" s="104"/>
      <c r="K7" s="104"/>
      <c r="L7" s="104"/>
      <c r="M7" s="104"/>
      <c r="N7" s="104"/>
      <c r="O7" s="104" t="s">
        <v>27</v>
      </c>
      <c r="P7" s="104"/>
      <c r="Q7" s="104"/>
      <c r="R7" s="104"/>
      <c r="S7" s="104"/>
      <c r="T7" s="104"/>
      <c r="U7" s="104"/>
      <c r="V7" s="104"/>
      <c r="W7" s="104"/>
      <c r="X7" s="104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69"/>
      <c r="AQ7" s="69"/>
      <c r="AR7" s="69"/>
      <c r="AS7" s="69"/>
      <c r="AT7" s="69"/>
      <c r="AU7" s="69"/>
      <c r="AV7" s="69"/>
      <c r="AW7" s="69"/>
      <c r="AX7" s="69"/>
      <c r="AY7" s="69"/>
      <c r="AZ7" s="69"/>
      <c r="BA7" s="74" t="s">
        <v>26</v>
      </c>
      <c r="BB7" s="74" t="s">
        <v>27</v>
      </c>
    </row>
    <row r="8" spans="1:54" x14ac:dyDescent="0.25">
      <c r="A8" s="1">
        <v>1</v>
      </c>
      <c r="B8" s="27" t="str">
        <f>('1st Term'!B9)</f>
        <v>ADAKARAZA SAMUEL</v>
      </c>
      <c r="C8" s="4"/>
      <c r="D8" s="28">
        <f>IFERROR((('1st Term'!AP9)+('2nd Term'!AP9)+('3rd Term'!AP9))/((--('1st Term'!AP9&gt;0))+(--('2nd Term'!AP9&gt;0))+(--('3rd Term'!AP9&gt;0))),"-")</f>
        <v>46.666666666666664</v>
      </c>
      <c r="E8" s="71" t="str">
        <f>RANK(D8,$D$8:$D$29)&amp;IF(OR(RANK(D8,$D$8:$D$29)=11,RANK(D8,$D$8:$D$29)=12,RANK(D8,$D$8:$D$29)=13),"th",CHOOSE(MIN(5,MOD(RANK(D8,$D$8:$D$29),10)+1),"th","st","nd","rd","th"))</f>
        <v>20th</v>
      </c>
      <c r="F8" s="72" t="s">
        <v>176</v>
      </c>
      <c r="G8" s="4"/>
      <c r="H8" s="103" t="s">
        <v>147</v>
      </c>
      <c r="I8" s="103"/>
      <c r="J8" s="103"/>
      <c r="K8" s="103"/>
      <c r="L8" s="103"/>
      <c r="M8" s="103"/>
      <c r="N8" s="103"/>
      <c r="O8" s="103" t="s">
        <v>141</v>
      </c>
      <c r="P8" s="103"/>
      <c r="Q8" s="103"/>
      <c r="R8" s="103"/>
      <c r="S8" s="103"/>
      <c r="T8" s="103"/>
      <c r="U8" s="103"/>
      <c r="V8" s="103"/>
      <c r="W8" s="103"/>
      <c r="X8" s="103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5" t="s">
        <v>63</v>
      </c>
      <c r="BB8" s="75" t="s">
        <v>131</v>
      </c>
    </row>
    <row r="9" spans="1:54" x14ac:dyDescent="0.25">
      <c r="A9" s="1">
        <v>2</v>
      </c>
      <c r="B9" s="27" t="str">
        <f>('1st Term'!B10)</f>
        <v>ADEOLA PEDRO</v>
      </c>
      <c r="C9" s="4"/>
      <c r="D9" s="28">
        <f>IFERROR((('1st Term'!AP10)+('2nd Term'!AP10)+('3rd Term'!AP10))/((--('1st Term'!AP10&gt;0))+(--('2nd Term'!AP10&gt;0))+(--('3rd Term'!AP10&gt;0))),"-")</f>
        <v>51.019607843137258</v>
      </c>
      <c r="E9" s="71" t="str">
        <f t="shared" ref="E9:E29" si="0">RANK(D9,$D$8:$D$29)&amp;IF(OR(RANK(D9,$D$8:$D$29)=11,RANK(D9,$D$8:$D$29)=12,RANK(D9,$D$8:$D$29)=13),"th",CHOOSE(MIN(5,MOD(RANK(D9,$D$8:$D$29),10)+1),"th","st","nd","rd","th"))</f>
        <v>14th</v>
      </c>
      <c r="F9" s="72" t="s">
        <v>176</v>
      </c>
      <c r="G9" s="4"/>
      <c r="H9" s="103" t="s">
        <v>157</v>
      </c>
      <c r="I9" s="103"/>
      <c r="J9" s="103"/>
      <c r="K9" s="103"/>
      <c r="L9" s="103"/>
      <c r="M9" s="103"/>
      <c r="N9" s="103"/>
      <c r="O9" s="103" t="s">
        <v>138</v>
      </c>
      <c r="P9" s="103"/>
      <c r="Q9" s="103"/>
      <c r="R9" s="103"/>
      <c r="S9" s="103"/>
      <c r="T9" s="103"/>
      <c r="U9" s="103"/>
      <c r="V9" s="103"/>
      <c r="W9" s="103"/>
      <c r="X9" s="103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0"/>
      <c r="BA9" s="75" t="s">
        <v>64</v>
      </c>
      <c r="BB9" s="75" t="s">
        <v>84</v>
      </c>
    </row>
    <row r="10" spans="1:54" x14ac:dyDescent="0.25">
      <c r="A10" s="1">
        <v>3</v>
      </c>
      <c r="B10" s="27" t="str">
        <f>('1st Term'!B11)</f>
        <v>ASAMS DANIELLA</v>
      </c>
      <c r="C10" s="4"/>
      <c r="D10" s="28">
        <f>IFERROR((('1st Term'!AP11)+('2nd Term'!AP11)+('3rd Term'!AP11))/((--('1st Term'!AP11&gt;0))+(--('2nd Term'!AP11&gt;0))+(--('3rd Term'!AP11&gt;0))),"-")</f>
        <v>58.431372549019606</v>
      </c>
      <c r="E10" s="71" t="str">
        <f t="shared" si="0"/>
        <v>8th</v>
      </c>
      <c r="F10" s="72" t="s">
        <v>177</v>
      </c>
      <c r="G10" s="4"/>
      <c r="H10" s="103" t="s">
        <v>147</v>
      </c>
      <c r="I10" s="103"/>
      <c r="J10" s="103"/>
      <c r="K10" s="103"/>
      <c r="L10" s="103"/>
      <c r="M10" s="103"/>
      <c r="N10" s="103"/>
      <c r="O10" s="103" t="s">
        <v>142</v>
      </c>
      <c r="P10" s="103"/>
      <c r="Q10" s="103"/>
      <c r="R10" s="103"/>
      <c r="S10" s="103"/>
      <c r="T10" s="103"/>
      <c r="U10" s="103"/>
      <c r="V10" s="103"/>
      <c r="W10" s="103"/>
      <c r="X10" s="103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5" t="s">
        <v>65</v>
      </c>
      <c r="BB10" s="75" t="s">
        <v>85</v>
      </c>
    </row>
    <row r="11" spans="1:54" x14ac:dyDescent="0.25">
      <c r="A11" s="1">
        <v>4</v>
      </c>
      <c r="B11" s="27" t="str">
        <f>('1st Term'!B12)</f>
        <v>ASIBOR NANCY</v>
      </c>
      <c r="C11" s="4"/>
      <c r="D11" s="28">
        <f>IFERROR((('1st Term'!AP12)+('2nd Term'!AP12)+('3rd Term'!AP12))/((--('1st Term'!AP12&gt;0))+(--('2nd Term'!AP12&gt;0))+(--('3rd Term'!AP12&gt;0))),"-")</f>
        <v>66.352941176470594</v>
      </c>
      <c r="E11" s="71" t="str">
        <f t="shared" si="0"/>
        <v>3rd</v>
      </c>
      <c r="F11" s="72" t="s">
        <v>177</v>
      </c>
      <c r="G11" s="4"/>
      <c r="H11" s="103" t="s">
        <v>144</v>
      </c>
      <c r="I11" s="103"/>
      <c r="J11" s="103"/>
      <c r="K11" s="103"/>
      <c r="L11" s="103"/>
      <c r="M11" s="103"/>
      <c r="N11" s="103"/>
      <c r="O11" s="103" t="s">
        <v>142</v>
      </c>
      <c r="P11" s="103"/>
      <c r="Q11" s="103"/>
      <c r="R11" s="103"/>
      <c r="S11" s="103"/>
      <c r="T11" s="103"/>
      <c r="U11" s="103"/>
      <c r="V11" s="103"/>
      <c r="W11" s="103"/>
      <c r="X11" s="103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5" t="s">
        <v>66</v>
      </c>
      <c r="BB11" s="75" t="s">
        <v>86</v>
      </c>
    </row>
    <row r="12" spans="1:54" x14ac:dyDescent="0.25">
      <c r="A12" s="1">
        <v>5</v>
      </c>
      <c r="B12" s="27" t="str">
        <f>('1st Term'!B13)</f>
        <v>BANKOLE AMEERAT</v>
      </c>
      <c r="C12" s="4"/>
      <c r="D12" s="28">
        <f>IFERROR((('1st Term'!AP13)+('2nd Term'!AP13)+('3rd Term'!AP13))/((--('1st Term'!AP13&gt;0))+(--('2nd Term'!AP13&gt;0))+(--('3rd Term'!AP13&gt;0))),"-")</f>
        <v>71.352941176470594</v>
      </c>
      <c r="E12" s="71" t="str">
        <f t="shared" si="0"/>
        <v>1st</v>
      </c>
      <c r="F12" s="72" t="s">
        <v>177</v>
      </c>
      <c r="G12" s="4"/>
      <c r="H12" s="103" t="s">
        <v>144</v>
      </c>
      <c r="I12" s="103"/>
      <c r="J12" s="103"/>
      <c r="K12" s="103"/>
      <c r="L12" s="103"/>
      <c r="M12" s="103"/>
      <c r="N12" s="103"/>
      <c r="O12" s="103" t="s">
        <v>142</v>
      </c>
      <c r="P12" s="103"/>
      <c r="Q12" s="103"/>
      <c r="R12" s="103"/>
      <c r="S12" s="103"/>
      <c r="T12" s="103"/>
      <c r="U12" s="103"/>
      <c r="V12" s="103"/>
      <c r="W12" s="103"/>
      <c r="X12" s="103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5" t="s">
        <v>67</v>
      </c>
      <c r="BB12" s="75" t="s">
        <v>87</v>
      </c>
    </row>
    <row r="13" spans="1:54" x14ac:dyDescent="0.25">
      <c r="A13" s="1">
        <v>6</v>
      </c>
      <c r="B13" s="27" t="str">
        <f>('1st Term'!B14)</f>
        <v>CHIEKEZIE MAXWELL</v>
      </c>
      <c r="C13" s="4"/>
      <c r="D13" s="28">
        <f>IFERROR((('1st Term'!AP14)+('2nd Term'!AP14)+('3rd Term'!AP14))/((--('1st Term'!AP14&gt;0))+(--('2nd Term'!AP14&gt;0))+(--('3rd Term'!AP14&gt;0))),"-")</f>
        <v>47.2156862745098</v>
      </c>
      <c r="E13" s="71" t="str">
        <f t="shared" si="0"/>
        <v>18th</v>
      </c>
      <c r="F13" s="72" t="s">
        <v>176</v>
      </c>
      <c r="G13" s="4"/>
      <c r="H13" s="103" t="s">
        <v>144</v>
      </c>
      <c r="I13" s="103"/>
      <c r="J13" s="103"/>
      <c r="K13" s="103"/>
      <c r="L13" s="103"/>
      <c r="M13" s="103"/>
      <c r="N13" s="103"/>
      <c r="O13" s="103" t="s">
        <v>142</v>
      </c>
      <c r="P13" s="103"/>
      <c r="Q13" s="103"/>
      <c r="R13" s="103"/>
      <c r="S13" s="103"/>
      <c r="T13" s="103"/>
      <c r="U13" s="103"/>
      <c r="V13" s="103"/>
      <c r="W13" s="103"/>
      <c r="X13" s="103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5" t="s">
        <v>68</v>
      </c>
      <c r="BB13" s="75" t="s">
        <v>88</v>
      </c>
    </row>
    <row r="14" spans="1:54" x14ac:dyDescent="0.25">
      <c r="A14" s="1">
        <v>7</v>
      </c>
      <c r="B14" s="27" t="str">
        <f>('1st Term'!B15)</f>
        <v>EDET MOSES</v>
      </c>
      <c r="C14" s="4"/>
      <c r="D14" s="28">
        <f>IFERROR((('1st Term'!AP15)+('2nd Term'!AP15)+('3rd Term'!AP15))/((--('1st Term'!AP15&gt;0))+(--('2nd Term'!AP15&gt;0))+(--('3rd Term'!AP15&gt;0))),"-")</f>
        <v>51.13725490196078</v>
      </c>
      <c r="E14" s="71" t="str">
        <f t="shared" si="0"/>
        <v>12th</v>
      </c>
      <c r="F14" s="72" t="s">
        <v>176</v>
      </c>
      <c r="G14" s="4"/>
      <c r="H14" s="103" t="s">
        <v>144</v>
      </c>
      <c r="I14" s="103"/>
      <c r="J14" s="103"/>
      <c r="K14" s="103"/>
      <c r="L14" s="103"/>
      <c r="M14" s="103"/>
      <c r="N14" s="103"/>
      <c r="O14" s="103" t="s">
        <v>142</v>
      </c>
      <c r="P14" s="103"/>
      <c r="Q14" s="103"/>
      <c r="R14" s="103"/>
      <c r="S14" s="103"/>
      <c r="T14" s="103"/>
      <c r="U14" s="103"/>
      <c r="V14" s="103"/>
      <c r="W14" s="103"/>
      <c r="X14" s="103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5" t="s">
        <v>69</v>
      </c>
      <c r="BB14" s="75" t="s">
        <v>106</v>
      </c>
    </row>
    <row r="15" spans="1:54" x14ac:dyDescent="0.25">
      <c r="A15" s="1">
        <v>8</v>
      </c>
      <c r="B15" s="27" t="str">
        <f>('1st Term'!B16)</f>
        <v>ENEJOH PHINEHAS</v>
      </c>
      <c r="C15" s="4"/>
      <c r="D15" s="28">
        <f>IFERROR((('1st Term'!AP16)+('2nd Term'!AP16)+('3rd Term'!AP16))/((--('1st Term'!AP16&gt;0))+(--('2nd Term'!AP16&gt;0))+(--('3rd Term'!AP16&gt;0))),"-")</f>
        <v>49.196078431372548</v>
      </c>
      <c r="E15" s="71" t="str">
        <f t="shared" si="0"/>
        <v>15th</v>
      </c>
      <c r="F15" s="72" t="s">
        <v>176</v>
      </c>
      <c r="G15" s="4"/>
      <c r="H15" s="103" t="s">
        <v>144</v>
      </c>
      <c r="I15" s="103"/>
      <c r="J15" s="103"/>
      <c r="K15" s="103"/>
      <c r="L15" s="103"/>
      <c r="M15" s="103"/>
      <c r="N15" s="103"/>
      <c r="O15" s="103" t="s">
        <v>142</v>
      </c>
      <c r="P15" s="103"/>
      <c r="Q15" s="103"/>
      <c r="R15" s="103"/>
      <c r="S15" s="103"/>
      <c r="T15" s="103"/>
      <c r="U15" s="103"/>
      <c r="V15" s="103"/>
      <c r="W15" s="103"/>
      <c r="X15" s="103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5" t="s">
        <v>70</v>
      </c>
      <c r="BB15" s="75" t="s">
        <v>89</v>
      </c>
    </row>
    <row r="16" spans="1:54" x14ac:dyDescent="0.25">
      <c r="A16" s="1">
        <v>9</v>
      </c>
      <c r="B16" s="27" t="str">
        <f>('1st Term'!B17)</f>
        <v>EWELUKWA FAVOUR</v>
      </c>
      <c r="C16" s="4"/>
      <c r="D16" s="28">
        <f>IFERROR((('1st Term'!AP17)+('2nd Term'!AP17)+('3rd Term'!AP17))/((--('1st Term'!AP17&gt;0))+(--('2nd Term'!AP17&gt;0))+(--('3rd Term'!AP17&gt;0))),"-")</f>
        <v>58.117647058823529</v>
      </c>
      <c r="E16" s="71" t="str">
        <f t="shared" si="0"/>
        <v>10th</v>
      </c>
      <c r="F16" s="72" t="s">
        <v>177</v>
      </c>
      <c r="G16" s="4"/>
      <c r="H16" s="103" t="s">
        <v>144</v>
      </c>
      <c r="I16" s="103"/>
      <c r="J16" s="103"/>
      <c r="K16" s="103"/>
      <c r="L16" s="103"/>
      <c r="M16" s="103"/>
      <c r="N16" s="103"/>
      <c r="O16" s="103" t="s">
        <v>142</v>
      </c>
      <c r="P16" s="103"/>
      <c r="Q16" s="103"/>
      <c r="R16" s="103"/>
      <c r="S16" s="103"/>
      <c r="T16" s="103"/>
      <c r="U16" s="103"/>
      <c r="V16" s="103"/>
      <c r="W16" s="103"/>
      <c r="X16" s="103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5" t="s">
        <v>71</v>
      </c>
      <c r="BB16" s="75" t="s">
        <v>90</v>
      </c>
    </row>
    <row r="17" spans="1:54" x14ac:dyDescent="0.25">
      <c r="A17" s="1">
        <v>10</v>
      </c>
      <c r="B17" s="27" t="str">
        <f>('1st Term'!B18)</f>
        <v>HAMMED OLAMIDE</v>
      </c>
      <c r="C17" s="4"/>
      <c r="D17" s="28">
        <f>IFERROR((('1st Term'!AP18)+('2nd Term'!AP18)+('3rd Term'!AP18))/((--('1st Term'!AP18&gt;0))+(--('2nd Term'!AP18&gt;0))+(--('3rd Term'!AP18&gt;0))),"-")</f>
        <v>36.843137254901961</v>
      </c>
      <c r="E17" s="71" t="str">
        <f t="shared" si="0"/>
        <v>22nd</v>
      </c>
      <c r="F17" s="72" t="s">
        <v>176</v>
      </c>
      <c r="G17" s="4"/>
      <c r="H17" s="103" t="s">
        <v>144</v>
      </c>
      <c r="I17" s="103"/>
      <c r="J17" s="103"/>
      <c r="K17" s="103"/>
      <c r="L17" s="103"/>
      <c r="M17" s="103"/>
      <c r="N17" s="103"/>
      <c r="O17" s="103" t="s">
        <v>142</v>
      </c>
      <c r="P17" s="103"/>
      <c r="Q17" s="103"/>
      <c r="R17" s="103"/>
      <c r="S17" s="103"/>
      <c r="T17" s="103"/>
      <c r="U17" s="103"/>
      <c r="V17" s="103"/>
      <c r="W17" s="103"/>
      <c r="X17" s="103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5" t="s">
        <v>72</v>
      </c>
      <c r="BB17" s="75" t="s">
        <v>91</v>
      </c>
    </row>
    <row r="18" spans="1:54" x14ac:dyDescent="0.25">
      <c r="A18" s="1">
        <v>11</v>
      </c>
      <c r="B18" s="27" t="str">
        <f>('1st Term'!B19)</f>
        <v>HAMZAT AKOREDE</v>
      </c>
      <c r="C18" s="4"/>
      <c r="D18" s="28">
        <f>IFERROR((('1st Term'!AP19)+('2nd Term'!AP19)+('3rd Term'!AP19))/((--('1st Term'!AP19&gt;0))+(--('2nd Term'!AP19&gt;0))+(--('3rd Term'!AP19&gt;0))),"-")</f>
        <v>46.86274509803922</v>
      </c>
      <c r="E18" s="71" t="str">
        <f t="shared" si="0"/>
        <v>19th</v>
      </c>
      <c r="F18" s="72" t="s">
        <v>176</v>
      </c>
      <c r="G18" s="4"/>
      <c r="H18" s="103" t="s">
        <v>144</v>
      </c>
      <c r="I18" s="103"/>
      <c r="J18" s="103"/>
      <c r="K18" s="103"/>
      <c r="L18" s="103"/>
      <c r="M18" s="103"/>
      <c r="N18" s="103"/>
      <c r="O18" s="103" t="s">
        <v>142</v>
      </c>
      <c r="P18" s="103"/>
      <c r="Q18" s="103"/>
      <c r="R18" s="103"/>
      <c r="S18" s="103"/>
      <c r="T18" s="103"/>
      <c r="U18" s="103"/>
      <c r="V18" s="103"/>
      <c r="W18" s="103"/>
      <c r="X18" s="103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5" t="s">
        <v>73</v>
      </c>
      <c r="BB18" s="75" t="s">
        <v>92</v>
      </c>
    </row>
    <row r="19" spans="1:54" x14ac:dyDescent="0.25">
      <c r="A19" s="1">
        <v>12</v>
      </c>
      <c r="B19" s="27" t="str">
        <f>('1st Term'!B20)</f>
        <v>JAMES DIVINE</v>
      </c>
      <c r="C19" s="4"/>
      <c r="D19" s="28">
        <f>IFERROR((('1st Term'!AP20)+('2nd Term'!AP20)+('3rd Term'!AP20))/((--('1st Term'!AP20&gt;0))+(--('2nd Term'!AP20&gt;0))+(--('3rd Term'!AP20&gt;0))),"-")</f>
        <v>39.088235294117652</v>
      </c>
      <c r="E19" s="71" t="str">
        <f t="shared" si="0"/>
        <v>21st</v>
      </c>
      <c r="F19" s="72" t="s">
        <v>176</v>
      </c>
      <c r="G19" s="4"/>
      <c r="H19" s="103" t="s">
        <v>144</v>
      </c>
      <c r="I19" s="103"/>
      <c r="J19" s="103"/>
      <c r="K19" s="103"/>
      <c r="L19" s="103"/>
      <c r="M19" s="103"/>
      <c r="N19" s="103"/>
      <c r="O19" s="103" t="s">
        <v>142</v>
      </c>
      <c r="P19" s="103"/>
      <c r="Q19" s="103"/>
      <c r="R19" s="103"/>
      <c r="S19" s="103"/>
      <c r="T19" s="103"/>
      <c r="U19" s="103"/>
      <c r="V19" s="103"/>
      <c r="W19" s="103"/>
      <c r="X19" s="103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5" t="s">
        <v>74</v>
      </c>
      <c r="BB19" s="75" t="s">
        <v>93</v>
      </c>
    </row>
    <row r="20" spans="1:54" x14ac:dyDescent="0.25">
      <c r="A20" s="1">
        <v>13</v>
      </c>
      <c r="B20" s="27" t="str">
        <f>('1st Term'!B21)</f>
        <v>JOEL JOSHUA</v>
      </c>
      <c r="C20" s="4"/>
      <c r="D20" s="28">
        <f>IFERROR((('1st Term'!AP21)+('2nd Term'!AP21)+('3rd Term'!AP21))/((--('1st Term'!AP21&gt;0))+(--('2nd Term'!AP21&gt;0))+(--('3rd Term'!AP21&gt;0))),"-")</f>
        <v>48.372549019607845</v>
      </c>
      <c r="E20" s="71" t="str">
        <f t="shared" si="0"/>
        <v>16th</v>
      </c>
      <c r="F20" s="72" t="s">
        <v>176</v>
      </c>
      <c r="G20" s="4"/>
      <c r="H20" s="103" t="s">
        <v>144</v>
      </c>
      <c r="I20" s="103"/>
      <c r="J20" s="103"/>
      <c r="K20" s="103"/>
      <c r="L20" s="103"/>
      <c r="M20" s="103"/>
      <c r="N20" s="103"/>
      <c r="O20" s="103" t="s">
        <v>142</v>
      </c>
      <c r="P20" s="103"/>
      <c r="Q20" s="103"/>
      <c r="R20" s="103"/>
      <c r="S20" s="103"/>
      <c r="T20" s="103"/>
      <c r="U20" s="103"/>
      <c r="V20" s="103"/>
      <c r="W20" s="103"/>
      <c r="X20" s="103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5" t="s">
        <v>75</v>
      </c>
      <c r="BB20" s="75" t="s">
        <v>94</v>
      </c>
    </row>
    <row r="21" spans="1:54" x14ac:dyDescent="0.25">
      <c r="A21" s="1">
        <v>14</v>
      </c>
      <c r="B21" s="27" t="str">
        <f>('1st Term'!B22)</f>
        <v>JOSIAH SUNDAY</v>
      </c>
      <c r="C21" s="4"/>
      <c r="D21" s="28">
        <f>IFERROR((('1st Term'!AP22)+('2nd Term'!AP22)+('3rd Term'!AP22))/((--('1st Term'!AP22&gt;0))+(--('2nd Term'!AP22&gt;0))+(--('3rd Term'!AP22&gt;0))),"-")</f>
        <v>58.274509803921568</v>
      </c>
      <c r="E21" s="71" t="str">
        <f t="shared" si="0"/>
        <v>9th</v>
      </c>
      <c r="F21" s="72" t="s">
        <v>176</v>
      </c>
      <c r="G21" s="4"/>
      <c r="H21" s="103" t="s">
        <v>144</v>
      </c>
      <c r="I21" s="103"/>
      <c r="J21" s="103"/>
      <c r="K21" s="103"/>
      <c r="L21" s="103"/>
      <c r="M21" s="103"/>
      <c r="N21" s="103"/>
      <c r="O21" s="103" t="s">
        <v>142</v>
      </c>
      <c r="P21" s="103"/>
      <c r="Q21" s="103"/>
      <c r="R21" s="103"/>
      <c r="S21" s="103"/>
      <c r="T21" s="103"/>
      <c r="U21" s="103"/>
      <c r="V21" s="103"/>
      <c r="W21" s="103"/>
      <c r="X21" s="103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5" t="s">
        <v>76</v>
      </c>
      <c r="BB21" s="75" t="s">
        <v>95</v>
      </c>
    </row>
    <row r="22" spans="1:54" x14ac:dyDescent="0.25">
      <c r="A22" s="1">
        <v>15</v>
      </c>
      <c r="B22" s="27" t="str">
        <f>('1st Term'!B23)</f>
        <v>KUFRE GOODNEWS</v>
      </c>
      <c r="C22" s="4"/>
      <c r="D22" s="28">
        <f>IFERROR((('1st Term'!AP23)+('2nd Term'!AP23)+('3rd Term'!AP23))/((--('1st Term'!AP23&gt;0))+(--('2nd Term'!AP23&gt;0))+(--('3rd Term'!AP23&gt;0))),"-")</f>
        <v>48.333333333333336</v>
      </c>
      <c r="E22" s="71" t="str">
        <f t="shared" si="0"/>
        <v>17th</v>
      </c>
      <c r="F22" s="72" t="s">
        <v>177</v>
      </c>
      <c r="G22" s="4"/>
      <c r="H22" s="103" t="s">
        <v>144</v>
      </c>
      <c r="I22" s="103"/>
      <c r="J22" s="103"/>
      <c r="K22" s="103"/>
      <c r="L22" s="103"/>
      <c r="M22" s="103"/>
      <c r="N22" s="103"/>
      <c r="O22" s="103" t="s">
        <v>142</v>
      </c>
      <c r="P22" s="103"/>
      <c r="Q22" s="103"/>
      <c r="R22" s="103"/>
      <c r="S22" s="103"/>
      <c r="T22" s="103"/>
      <c r="U22" s="103"/>
      <c r="V22" s="103"/>
      <c r="W22" s="103"/>
      <c r="X22" s="103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5" t="s">
        <v>77</v>
      </c>
      <c r="BB22" s="75" t="s">
        <v>96</v>
      </c>
    </row>
    <row r="23" spans="1:54" x14ac:dyDescent="0.25">
      <c r="A23" s="1">
        <v>16</v>
      </c>
      <c r="B23" s="27" t="str">
        <f>('1st Term'!B24)</f>
        <v>NWABUEZE FAVOUR</v>
      </c>
      <c r="C23" s="4"/>
      <c r="D23" s="28">
        <f>IFERROR((('1st Term'!AP24)+('2nd Term'!AP24)+('3rd Term'!AP24))/((--('1st Term'!AP24&gt;0))+(--('2nd Term'!AP24&gt;0))+(--('3rd Term'!AP24&gt;0))),"-")</f>
        <v>68.901960784313729</v>
      </c>
      <c r="E23" s="71" t="str">
        <f t="shared" si="0"/>
        <v>2nd</v>
      </c>
      <c r="F23" s="72" t="s">
        <v>177</v>
      </c>
      <c r="G23" s="4"/>
      <c r="H23" s="103" t="s">
        <v>144</v>
      </c>
      <c r="I23" s="103"/>
      <c r="J23" s="103"/>
      <c r="K23" s="103"/>
      <c r="L23" s="103"/>
      <c r="M23" s="103"/>
      <c r="N23" s="103"/>
      <c r="O23" s="103" t="s">
        <v>142</v>
      </c>
      <c r="P23" s="103"/>
      <c r="Q23" s="103"/>
      <c r="R23" s="103"/>
      <c r="S23" s="103"/>
      <c r="T23" s="103"/>
      <c r="U23" s="103"/>
      <c r="V23" s="103"/>
      <c r="W23" s="103"/>
      <c r="X23" s="103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5" t="s">
        <v>78</v>
      </c>
      <c r="BB23" s="75" t="s">
        <v>97</v>
      </c>
    </row>
    <row r="24" spans="1:54" x14ac:dyDescent="0.25">
      <c r="A24" s="1">
        <v>17</v>
      </c>
      <c r="B24" s="27" t="str">
        <f>('1st Term'!B25)</f>
        <v>NWABUEZE VICTOR</v>
      </c>
      <c r="C24" s="4"/>
      <c r="D24" s="28">
        <f>IFERROR((('1st Term'!AP25)+('2nd Term'!AP25)+('3rd Term'!AP25))/((--('1st Term'!AP25&gt;0))+(--('2nd Term'!AP25&gt;0))+(--('3rd Term'!AP25&gt;0))),"-")</f>
        <v>53.235294117647051</v>
      </c>
      <c r="E24" s="71" t="str">
        <f t="shared" si="0"/>
        <v>11th</v>
      </c>
      <c r="F24" s="72" t="s">
        <v>176</v>
      </c>
      <c r="G24" s="4"/>
      <c r="H24" s="103" t="s">
        <v>144</v>
      </c>
      <c r="I24" s="103"/>
      <c r="J24" s="103"/>
      <c r="K24" s="103"/>
      <c r="L24" s="103"/>
      <c r="M24" s="103"/>
      <c r="N24" s="103"/>
      <c r="O24" s="103" t="s">
        <v>142</v>
      </c>
      <c r="P24" s="103"/>
      <c r="Q24" s="103"/>
      <c r="R24" s="103"/>
      <c r="S24" s="103"/>
      <c r="T24" s="103"/>
      <c r="U24" s="103"/>
      <c r="V24" s="103"/>
      <c r="W24" s="103"/>
      <c r="X24" s="103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5" t="s">
        <v>79</v>
      </c>
      <c r="BB24" s="75" t="s">
        <v>98</v>
      </c>
    </row>
    <row r="25" spans="1:54" x14ac:dyDescent="0.25">
      <c r="A25" s="1">
        <v>18</v>
      </c>
      <c r="B25" s="27" t="str">
        <f>('1st Term'!B26)</f>
        <v>ONYINYECHI ANITA</v>
      </c>
      <c r="C25" s="4"/>
      <c r="D25" s="28">
        <f>IFERROR((('1st Term'!AP26)+('2nd Term'!AP26)+('3rd Term'!AP26))/((--('1st Term'!AP26&gt;0))+(--('2nd Term'!AP26&gt;0))+(--('3rd Term'!AP26&gt;0))),"-")</f>
        <v>59.764705882352949</v>
      </c>
      <c r="E25" s="71" t="str">
        <f t="shared" si="0"/>
        <v>7th</v>
      </c>
      <c r="F25" s="72" t="s">
        <v>177</v>
      </c>
      <c r="G25" s="4"/>
      <c r="H25" s="103" t="s">
        <v>144</v>
      </c>
      <c r="I25" s="103"/>
      <c r="J25" s="103"/>
      <c r="K25" s="103"/>
      <c r="L25" s="103"/>
      <c r="M25" s="103"/>
      <c r="N25" s="103"/>
      <c r="O25" s="103" t="s">
        <v>142</v>
      </c>
      <c r="P25" s="103"/>
      <c r="Q25" s="103"/>
      <c r="R25" s="103"/>
      <c r="S25" s="103"/>
      <c r="T25" s="103"/>
      <c r="U25" s="103"/>
      <c r="V25" s="103"/>
      <c r="W25" s="103"/>
      <c r="X25" s="103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5" t="s">
        <v>80</v>
      </c>
      <c r="BB25" s="75" t="s">
        <v>99</v>
      </c>
    </row>
    <row r="26" spans="1:54" x14ac:dyDescent="0.25">
      <c r="A26" s="1">
        <v>19</v>
      </c>
      <c r="B26" s="27" t="str">
        <f>('1st Term'!B27)</f>
        <v>ORIAKU BRIGHT</v>
      </c>
      <c r="C26" s="4"/>
      <c r="D26" s="28">
        <f>IFERROR((('1st Term'!AP27)+('2nd Term'!AP27)+('3rd Term'!AP27))/((--('1st Term'!AP27&gt;0))+(--('2nd Term'!AP27&gt;0))+(--('3rd Term'!AP27&gt;0))),"-")</f>
        <v>51.03921568627451</v>
      </c>
      <c r="E26" s="71" t="str">
        <f t="shared" si="0"/>
        <v>13th</v>
      </c>
      <c r="F26" s="72" t="s">
        <v>177</v>
      </c>
      <c r="G26" s="4"/>
      <c r="H26" s="103" t="s">
        <v>144</v>
      </c>
      <c r="I26" s="103"/>
      <c r="J26" s="103"/>
      <c r="K26" s="103"/>
      <c r="L26" s="103"/>
      <c r="M26" s="103"/>
      <c r="N26" s="103"/>
      <c r="O26" s="103" t="s">
        <v>142</v>
      </c>
      <c r="P26" s="103"/>
      <c r="Q26" s="103"/>
      <c r="R26" s="103"/>
      <c r="S26" s="103"/>
      <c r="T26" s="103"/>
      <c r="U26" s="103"/>
      <c r="V26" s="103"/>
      <c r="W26" s="103"/>
      <c r="X26" s="103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5" t="s">
        <v>81</v>
      </c>
      <c r="BB26" s="75" t="s">
        <v>100</v>
      </c>
    </row>
    <row r="27" spans="1:54" x14ac:dyDescent="0.25">
      <c r="A27" s="1">
        <v>20</v>
      </c>
      <c r="B27" s="27" t="str">
        <f>('1st Term'!B28)</f>
        <v>SAKA FAREED</v>
      </c>
      <c r="C27" s="4"/>
      <c r="D27" s="28">
        <f>IFERROR((('1st Term'!AP28)+('2nd Term'!AP28)+('3rd Term'!AP28))/((--('1st Term'!AP28&gt;0))+(--('2nd Term'!AP28&gt;0))+(--('3rd Term'!AP28&gt;0))),"-")</f>
        <v>64.568627450980401</v>
      </c>
      <c r="E27" s="71" t="str">
        <f t="shared" si="0"/>
        <v>4th</v>
      </c>
      <c r="F27" s="72" t="s">
        <v>176</v>
      </c>
      <c r="G27" s="4"/>
      <c r="H27" s="103" t="s">
        <v>144</v>
      </c>
      <c r="I27" s="103"/>
      <c r="J27" s="103"/>
      <c r="K27" s="103"/>
      <c r="L27" s="103"/>
      <c r="M27" s="103"/>
      <c r="N27" s="103"/>
      <c r="O27" s="103" t="s">
        <v>142</v>
      </c>
      <c r="P27" s="103"/>
      <c r="Q27" s="103"/>
      <c r="R27" s="103"/>
      <c r="S27" s="103"/>
      <c r="T27" s="103"/>
      <c r="U27" s="103"/>
      <c r="V27" s="103"/>
      <c r="W27" s="103"/>
      <c r="X27" s="103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5" t="s">
        <v>82</v>
      </c>
      <c r="BB27" s="75" t="s">
        <v>101</v>
      </c>
    </row>
    <row r="28" spans="1:54" x14ac:dyDescent="0.25">
      <c r="A28" s="1">
        <v>21</v>
      </c>
      <c r="B28" s="27" t="str">
        <f>('1st Term'!B29)</f>
        <v>VICTOR LOVETH</v>
      </c>
      <c r="C28" s="4"/>
      <c r="D28" s="28">
        <f>IFERROR((('1st Term'!AP29)+('2nd Term'!AP29)+('3rd Term'!AP29))/((--('1st Term'!AP29&gt;0))+(--('2nd Term'!AP29&gt;0))+(--('3rd Term'!AP29&gt;0))),"-")</f>
        <v>61.764705882352935</v>
      </c>
      <c r="E28" s="71" t="str">
        <f t="shared" si="0"/>
        <v>5th</v>
      </c>
      <c r="F28" s="72" t="s">
        <v>177</v>
      </c>
      <c r="G28" s="4"/>
      <c r="H28" s="103" t="s">
        <v>144</v>
      </c>
      <c r="I28" s="103"/>
      <c r="J28" s="103"/>
      <c r="K28" s="103"/>
      <c r="L28" s="103"/>
      <c r="M28" s="103"/>
      <c r="N28" s="103"/>
      <c r="O28" s="103" t="s">
        <v>142</v>
      </c>
      <c r="P28" s="103"/>
      <c r="Q28" s="103"/>
      <c r="R28" s="103"/>
      <c r="S28" s="103"/>
      <c r="T28" s="103"/>
      <c r="U28" s="103"/>
      <c r="V28" s="103"/>
      <c r="W28" s="103"/>
      <c r="X28" s="103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5" t="s">
        <v>83</v>
      </c>
      <c r="BB28" s="75" t="s">
        <v>102</v>
      </c>
    </row>
    <row r="29" spans="1:54" x14ac:dyDescent="0.25">
      <c r="A29" s="1">
        <v>22</v>
      </c>
      <c r="B29" s="27" t="str">
        <f>('1st Term'!B30)</f>
        <v>WASIU NIMOTALLAH</v>
      </c>
      <c r="C29" s="4"/>
      <c r="D29" s="28">
        <f>IFERROR((('1st Term'!AP30)+('2nd Term'!AP30)+('3rd Term'!AP30))/((--('1st Term'!AP30&gt;0))+(--('2nd Term'!AP30&gt;0))+(--('3rd Term'!AP30&gt;0))),"-")</f>
        <v>61.568627450980387</v>
      </c>
      <c r="E29" s="71" t="str">
        <f t="shared" si="0"/>
        <v>6th</v>
      </c>
      <c r="F29" s="72" t="s">
        <v>177</v>
      </c>
      <c r="G29" s="4"/>
      <c r="H29" s="103" t="s">
        <v>144</v>
      </c>
      <c r="I29" s="103"/>
      <c r="J29" s="103"/>
      <c r="K29" s="103"/>
      <c r="L29" s="103"/>
      <c r="M29" s="103"/>
      <c r="N29" s="103"/>
      <c r="O29" s="103" t="s">
        <v>142</v>
      </c>
      <c r="P29" s="103"/>
      <c r="Q29" s="103"/>
      <c r="R29" s="103"/>
      <c r="S29" s="103"/>
      <c r="T29" s="103"/>
      <c r="U29" s="103"/>
      <c r="V29" s="103"/>
      <c r="W29" s="103"/>
      <c r="X29" s="103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70"/>
      <c r="AX29" s="70"/>
      <c r="AY29" s="70"/>
      <c r="AZ29" s="70"/>
      <c r="BA29" s="76" t="s">
        <v>143</v>
      </c>
      <c r="BB29" s="75" t="s">
        <v>103</v>
      </c>
    </row>
    <row r="30" spans="1:54" x14ac:dyDescent="0.25">
      <c r="A30" s="1">
        <v>23</v>
      </c>
      <c r="B30" s="27"/>
      <c r="C30" s="4"/>
      <c r="D30" s="28"/>
      <c r="E30" s="71"/>
      <c r="F30" s="72"/>
      <c r="G30" s="4"/>
      <c r="H30" s="103" t="s">
        <v>144</v>
      </c>
      <c r="I30" s="103"/>
      <c r="J30" s="103"/>
      <c r="K30" s="103"/>
      <c r="L30" s="103"/>
      <c r="M30" s="103"/>
      <c r="N30" s="103"/>
      <c r="O30" s="103" t="s">
        <v>142</v>
      </c>
      <c r="P30" s="103"/>
      <c r="Q30" s="103"/>
      <c r="R30" s="103"/>
      <c r="S30" s="103"/>
      <c r="T30" s="103"/>
      <c r="U30" s="103"/>
      <c r="V30" s="103"/>
      <c r="W30" s="103"/>
      <c r="X30" s="103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6" t="s">
        <v>144</v>
      </c>
      <c r="BB30" s="75" t="s">
        <v>104</v>
      </c>
    </row>
    <row r="31" spans="1:54" x14ac:dyDescent="0.25">
      <c r="A31" s="1">
        <v>24</v>
      </c>
      <c r="B31" s="27"/>
      <c r="C31" s="4"/>
      <c r="D31" s="28"/>
      <c r="E31" s="71"/>
      <c r="F31" s="72"/>
      <c r="G31" s="4"/>
      <c r="H31" s="103" t="s">
        <v>144</v>
      </c>
      <c r="I31" s="103"/>
      <c r="J31" s="103"/>
      <c r="K31" s="103"/>
      <c r="L31" s="103"/>
      <c r="M31" s="103"/>
      <c r="N31" s="103"/>
      <c r="O31" s="103" t="s">
        <v>142</v>
      </c>
      <c r="P31" s="103"/>
      <c r="Q31" s="103"/>
      <c r="R31" s="103"/>
      <c r="S31" s="103"/>
      <c r="T31" s="103"/>
      <c r="U31" s="103"/>
      <c r="V31" s="103"/>
      <c r="W31" s="103"/>
      <c r="X31" s="103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6" t="s">
        <v>145</v>
      </c>
      <c r="BB31" s="75" t="s">
        <v>132</v>
      </c>
    </row>
    <row r="32" spans="1:54" x14ac:dyDescent="0.25">
      <c r="A32" s="1">
        <v>25</v>
      </c>
      <c r="B32" s="27"/>
      <c r="C32" s="4"/>
      <c r="D32" s="28"/>
      <c r="E32" s="71"/>
      <c r="F32" s="72"/>
      <c r="G32" s="4"/>
      <c r="H32" s="103" t="s">
        <v>144</v>
      </c>
      <c r="I32" s="103"/>
      <c r="J32" s="103"/>
      <c r="K32" s="103"/>
      <c r="L32" s="103"/>
      <c r="M32" s="103"/>
      <c r="N32" s="103"/>
      <c r="O32" s="103" t="s">
        <v>142</v>
      </c>
      <c r="P32" s="103"/>
      <c r="Q32" s="103"/>
      <c r="R32" s="103"/>
      <c r="S32" s="103"/>
      <c r="T32" s="103"/>
      <c r="U32" s="103"/>
      <c r="V32" s="103"/>
      <c r="W32" s="103"/>
      <c r="X32" s="103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6" t="s">
        <v>146</v>
      </c>
      <c r="BB32" s="75" t="s">
        <v>133</v>
      </c>
    </row>
    <row r="33" spans="1:54" x14ac:dyDescent="0.25">
      <c r="A33" s="1">
        <v>26</v>
      </c>
      <c r="B33" s="27"/>
      <c r="C33" s="4"/>
      <c r="D33" s="28"/>
      <c r="E33" s="71"/>
      <c r="F33" s="72"/>
      <c r="G33" s="4"/>
      <c r="H33" s="103" t="s">
        <v>144</v>
      </c>
      <c r="I33" s="103"/>
      <c r="J33" s="103"/>
      <c r="K33" s="103"/>
      <c r="L33" s="103"/>
      <c r="M33" s="103"/>
      <c r="N33" s="103"/>
      <c r="O33" s="103" t="s">
        <v>142</v>
      </c>
      <c r="P33" s="103"/>
      <c r="Q33" s="103"/>
      <c r="R33" s="103"/>
      <c r="S33" s="103"/>
      <c r="T33" s="103"/>
      <c r="U33" s="103"/>
      <c r="V33" s="103"/>
      <c r="W33" s="103"/>
      <c r="X33" s="103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6" t="s">
        <v>147</v>
      </c>
      <c r="BB33" s="75" t="s">
        <v>134</v>
      </c>
    </row>
    <row r="34" spans="1:54" x14ac:dyDescent="0.25">
      <c r="A34" s="1">
        <v>27</v>
      </c>
      <c r="B34" s="27"/>
      <c r="C34" s="4"/>
      <c r="D34" s="28"/>
      <c r="E34" s="71"/>
      <c r="F34" s="72"/>
      <c r="G34" s="4"/>
      <c r="H34" s="103" t="s">
        <v>144</v>
      </c>
      <c r="I34" s="103"/>
      <c r="J34" s="103"/>
      <c r="K34" s="103"/>
      <c r="L34" s="103"/>
      <c r="M34" s="103"/>
      <c r="N34" s="103"/>
      <c r="O34" s="103" t="s">
        <v>142</v>
      </c>
      <c r="P34" s="103"/>
      <c r="Q34" s="103"/>
      <c r="R34" s="103"/>
      <c r="S34" s="103"/>
      <c r="T34" s="103"/>
      <c r="U34" s="103"/>
      <c r="V34" s="103"/>
      <c r="W34" s="103"/>
      <c r="X34" s="103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6" t="s">
        <v>148</v>
      </c>
      <c r="BB34" s="75" t="s">
        <v>135</v>
      </c>
    </row>
    <row r="35" spans="1:54" x14ac:dyDescent="0.25">
      <c r="A35" s="1">
        <v>28</v>
      </c>
      <c r="B35" s="27"/>
      <c r="C35" s="4"/>
      <c r="D35" s="28"/>
      <c r="E35" s="71"/>
      <c r="F35" s="72"/>
      <c r="G35" s="4"/>
      <c r="H35" s="103" t="s">
        <v>144</v>
      </c>
      <c r="I35" s="103"/>
      <c r="J35" s="103"/>
      <c r="K35" s="103"/>
      <c r="L35" s="103"/>
      <c r="M35" s="103"/>
      <c r="N35" s="103"/>
      <c r="O35" s="103" t="s">
        <v>142</v>
      </c>
      <c r="P35" s="103"/>
      <c r="Q35" s="103"/>
      <c r="R35" s="103"/>
      <c r="S35" s="103"/>
      <c r="T35" s="103"/>
      <c r="U35" s="103"/>
      <c r="V35" s="103"/>
      <c r="W35" s="103"/>
      <c r="X35" s="103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6" t="s">
        <v>149</v>
      </c>
      <c r="BB35" s="75" t="s">
        <v>136</v>
      </c>
    </row>
    <row r="36" spans="1:54" x14ac:dyDescent="0.25">
      <c r="A36" s="1">
        <v>29</v>
      </c>
      <c r="B36" s="27"/>
      <c r="C36" s="2"/>
      <c r="D36" s="28"/>
      <c r="E36" s="1"/>
      <c r="F36" s="73"/>
      <c r="G36" s="1"/>
      <c r="H36" s="103" t="s">
        <v>144</v>
      </c>
      <c r="I36" s="103"/>
      <c r="J36" s="103"/>
      <c r="K36" s="103"/>
      <c r="L36" s="103"/>
      <c r="M36" s="103"/>
      <c r="N36" s="103"/>
      <c r="O36" s="103" t="s">
        <v>142</v>
      </c>
      <c r="P36" s="103"/>
      <c r="Q36" s="103"/>
      <c r="R36" s="103"/>
      <c r="S36" s="103"/>
      <c r="T36" s="103"/>
      <c r="U36" s="103"/>
      <c r="V36" s="103"/>
      <c r="W36" s="103"/>
      <c r="X36" s="103"/>
      <c r="BA36" s="76" t="s">
        <v>147</v>
      </c>
      <c r="BB36" s="75" t="s">
        <v>137</v>
      </c>
    </row>
    <row r="37" spans="1:54" x14ac:dyDescent="0.25">
      <c r="A37" s="1">
        <v>30</v>
      </c>
      <c r="B37" s="27"/>
      <c r="C37" s="2"/>
      <c r="D37" s="28"/>
      <c r="E37" s="1"/>
      <c r="F37" s="73"/>
      <c r="G37" s="1"/>
      <c r="H37" s="103" t="s">
        <v>144</v>
      </c>
      <c r="I37" s="103"/>
      <c r="J37" s="103"/>
      <c r="K37" s="103"/>
      <c r="L37" s="103"/>
      <c r="M37" s="103"/>
      <c r="N37" s="103"/>
      <c r="O37" s="103" t="s">
        <v>142</v>
      </c>
      <c r="P37" s="103"/>
      <c r="Q37" s="103"/>
      <c r="R37" s="103"/>
      <c r="S37" s="103"/>
      <c r="T37" s="103"/>
      <c r="U37" s="103"/>
      <c r="V37" s="103"/>
      <c r="W37" s="103"/>
      <c r="X37" s="103"/>
      <c r="BA37" s="76" t="s">
        <v>148</v>
      </c>
      <c r="BB37" s="75" t="s">
        <v>138</v>
      </c>
    </row>
    <row r="38" spans="1:54" x14ac:dyDescent="0.25">
      <c r="A38" s="1">
        <v>31</v>
      </c>
      <c r="B38" s="27"/>
      <c r="C38" s="2"/>
      <c r="D38" s="28"/>
      <c r="E38" s="1"/>
      <c r="F38" s="73"/>
      <c r="G38" s="1"/>
      <c r="H38" s="103" t="s">
        <v>144</v>
      </c>
      <c r="I38" s="103"/>
      <c r="J38" s="103"/>
      <c r="K38" s="103"/>
      <c r="L38" s="103"/>
      <c r="M38" s="103"/>
      <c r="N38" s="103"/>
      <c r="O38" s="103" t="s">
        <v>142</v>
      </c>
      <c r="P38" s="103"/>
      <c r="Q38" s="103"/>
      <c r="R38" s="103"/>
      <c r="S38" s="103"/>
      <c r="T38" s="103"/>
      <c r="U38" s="103"/>
      <c r="V38" s="103"/>
      <c r="W38" s="103"/>
      <c r="X38" s="103"/>
      <c r="BA38" s="76" t="s">
        <v>149</v>
      </c>
      <c r="BB38" s="75" t="s">
        <v>139</v>
      </c>
    </row>
    <row r="39" spans="1:54" x14ac:dyDescent="0.25">
      <c r="A39" s="1">
        <v>32</v>
      </c>
      <c r="B39" s="27"/>
      <c r="C39" s="2"/>
      <c r="D39" s="28"/>
      <c r="E39" s="1"/>
      <c r="F39" s="73"/>
      <c r="G39" s="1"/>
      <c r="H39" s="103" t="s">
        <v>144</v>
      </c>
      <c r="I39" s="103"/>
      <c r="J39" s="103"/>
      <c r="K39" s="103"/>
      <c r="L39" s="103"/>
      <c r="M39" s="103"/>
      <c r="N39" s="103"/>
      <c r="O39" s="103" t="s">
        <v>142</v>
      </c>
      <c r="P39" s="103"/>
      <c r="Q39" s="103"/>
      <c r="R39" s="103"/>
      <c r="S39" s="103"/>
      <c r="T39" s="103"/>
      <c r="U39" s="103"/>
      <c r="V39" s="103"/>
      <c r="W39" s="103"/>
      <c r="X39" s="103"/>
      <c r="BA39" s="76" t="s">
        <v>150</v>
      </c>
      <c r="BB39" s="75" t="s">
        <v>140</v>
      </c>
    </row>
    <row r="40" spans="1:54" x14ac:dyDescent="0.25">
      <c r="A40" s="1">
        <v>33</v>
      </c>
      <c r="B40" s="27"/>
      <c r="C40" s="2"/>
      <c r="D40" s="28"/>
      <c r="E40" s="1"/>
      <c r="F40" s="73"/>
      <c r="G40" s="1"/>
      <c r="H40" s="103" t="s">
        <v>144</v>
      </c>
      <c r="I40" s="103"/>
      <c r="J40" s="103"/>
      <c r="K40" s="103"/>
      <c r="L40" s="103"/>
      <c r="M40" s="103"/>
      <c r="N40" s="103"/>
      <c r="O40" s="103" t="s">
        <v>142</v>
      </c>
      <c r="P40" s="103"/>
      <c r="Q40" s="103"/>
      <c r="R40" s="103"/>
      <c r="S40" s="103"/>
      <c r="T40" s="103"/>
      <c r="U40" s="103"/>
      <c r="V40" s="103"/>
      <c r="W40" s="103"/>
      <c r="X40" s="103"/>
      <c r="BA40" s="76" t="s">
        <v>151</v>
      </c>
      <c r="BB40" s="75" t="s">
        <v>141</v>
      </c>
    </row>
    <row r="41" spans="1:54" x14ac:dyDescent="0.25">
      <c r="A41" s="1">
        <v>34</v>
      </c>
      <c r="B41" s="27"/>
      <c r="C41" s="2"/>
      <c r="D41" s="28"/>
      <c r="E41" s="1"/>
      <c r="F41" s="73"/>
      <c r="G41" s="1"/>
      <c r="H41" s="103" t="s">
        <v>144</v>
      </c>
      <c r="I41" s="103"/>
      <c r="J41" s="103"/>
      <c r="K41" s="103"/>
      <c r="L41" s="103"/>
      <c r="M41" s="103"/>
      <c r="N41" s="103"/>
      <c r="O41" s="103" t="s">
        <v>142</v>
      </c>
      <c r="P41" s="103"/>
      <c r="Q41" s="103"/>
      <c r="R41" s="103"/>
      <c r="S41" s="103"/>
      <c r="T41" s="103"/>
      <c r="U41" s="103"/>
      <c r="V41" s="103"/>
      <c r="W41" s="103"/>
      <c r="X41" s="103"/>
      <c r="BA41" s="76" t="s">
        <v>152</v>
      </c>
      <c r="BB41" s="75" t="s">
        <v>142</v>
      </c>
    </row>
    <row r="42" spans="1:54" x14ac:dyDescent="0.25">
      <c r="A42" s="1">
        <v>35</v>
      </c>
      <c r="B42" s="27"/>
      <c r="C42" s="2"/>
      <c r="D42" s="28"/>
      <c r="E42" s="1"/>
      <c r="F42" s="73"/>
      <c r="G42" s="1"/>
      <c r="H42" s="103" t="s">
        <v>144</v>
      </c>
      <c r="I42" s="103"/>
      <c r="J42" s="103"/>
      <c r="K42" s="103"/>
      <c r="L42" s="103"/>
      <c r="M42" s="103"/>
      <c r="N42" s="103"/>
      <c r="O42" s="103" t="s">
        <v>142</v>
      </c>
      <c r="P42" s="103"/>
      <c r="Q42" s="103"/>
      <c r="R42" s="103"/>
      <c r="S42" s="103"/>
      <c r="T42" s="103"/>
      <c r="U42" s="103"/>
      <c r="V42" s="103"/>
      <c r="W42" s="103"/>
      <c r="X42" s="103"/>
      <c r="BA42" s="76" t="s">
        <v>153</v>
      </c>
      <c r="BB42" s="76"/>
    </row>
    <row r="43" spans="1:54" x14ac:dyDescent="0.25">
      <c r="A43" s="1">
        <v>36</v>
      </c>
      <c r="B43" s="27"/>
      <c r="C43" s="2"/>
      <c r="D43" s="28"/>
      <c r="E43" s="1"/>
      <c r="F43" s="73"/>
      <c r="G43" s="1"/>
      <c r="H43" s="103" t="s">
        <v>144</v>
      </c>
      <c r="I43" s="103"/>
      <c r="J43" s="103"/>
      <c r="K43" s="103"/>
      <c r="L43" s="103"/>
      <c r="M43" s="103"/>
      <c r="N43" s="103"/>
      <c r="O43" s="103" t="s">
        <v>142</v>
      </c>
      <c r="P43" s="103"/>
      <c r="Q43" s="103"/>
      <c r="R43" s="103"/>
      <c r="S43" s="103"/>
      <c r="T43" s="103"/>
      <c r="U43" s="103"/>
      <c r="V43" s="103"/>
      <c r="W43" s="103"/>
      <c r="X43" s="103"/>
      <c r="BA43" s="76" t="s">
        <v>154</v>
      </c>
      <c r="BB43" s="76"/>
    </row>
    <row r="44" spans="1:54" x14ac:dyDescent="0.25">
      <c r="A44" s="1">
        <v>37</v>
      </c>
      <c r="B44" s="27"/>
      <c r="C44" s="2"/>
      <c r="D44" s="28"/>
      <c r="E44" s="1"/>
      <c r="F44" s="73"/>
      <c r="G44" s="1"/>
      <c r="H44" s="103" t="s">
        <v>144</v>
      </c>
      <c r="I44" s="103"/>
      <c r="J44" s="103"/>
      <c r="K44" s="103"/>
      <c r="L44" s="103"/>
      <c r="M44" s="103"/>
      <c r="N44" s="103"/>
      <c r="O44" s="103" t="s">
        <v>142</v>
      </c>
      <c r="P44" s="103"/>
      <c r="Q44" s="103"/>
      <c r="R44" s="103"/>
      <c r="S44" s="103"/>
      <c r="T44" s="103"/>
      <c r="U44" s="103"/>
      <c r="V44" s="103"/>
      <c r="W44" s="103"/>
      <c r="X44" s="103"/>
      <c r="BA44" s="76" t="s">
        <v>155</v>
      </c>
      <c r="BB44" s="76"/>
    </row>
    <row r="45" spans="1:54" x14ac:dyDescent="0.25">
      <c r="A45" s="1">
        <v>38</v>
      </c>
      <c r="B45" s="27"/>
      <c r="C45" s="2"/>
      <c r="D45" s="28"/>
      <c r="E45" s="1"/>
      <c r="F45" s="73"/>
      <c r="G45" s="1"/>
      <c r="H45" s="103" t="s">
        <v>144</v>
      </c>
      <c r="I45" s="103"/>
      <c r="J45" s="103"/>
      <c r="K45" s="103"/>
      <c r="L45" s="103"/>
      <c r="M45" s="103"/>
      <c r="N45" s="103"/>
      <c r="O45" s="103" t="s">
        <v>142</v>
      </c>
      <c r="P45" s="103"/>
      <c r="Q45" s="103"/>
      <c r="R45" s="103"/>
      <c r="S45" s="103"/>
      <c r="T45" s="103"/>
      <c r="U45" s="103"/>
      <c r="V45" s="103"/>
      <c r="W45" s="103"/>
      <c r="X45" s="103"/>
      <c r="BA45" s="76" t="s">
        <v>156</v>
      </c>
      <c r="BB45" s="76"/>
    </row>
    <row r="46" spans="1:54" x14ac:dyDescent="0.25">
      <c r="A46" s="1">
        <v>39</v>
      </c>
      <c r="B46" s="27"/>
      <c r="C46" s="2"/>
      <c r="D46" s="28"/>
      <c r="E46" s="1"/>
      <c r="F46" s="73"/>
      <c r="G46" s="1"/>
      <c r="H46" s="103" t="s">
        <v>144</v>
      </c>
      <c r="I46" s="103"/>
      <c r="J46" s="103"/>
      <c r="K46" s="103"/>
      <c r="L46" s="103"/>
      <c r="M46" s="103"/>
      <c r="N46" s="103"/>
      <c r="O46" s="103" t="s">
        <v>142</v>
      </c>
      <c r="P46" s="103"/>
      <c r="Q46" s="103"/>
      <c r="R46" s="103"/>
      <c r="S46" s="103"/>
      <c r="T46" s="103"/>
      <c r="U46" s="103"/>
      <c r="V46" s="103"/>
      <c r="W46" s="103"/>
      <c r="X46" s="103"/>
      <c r="BA46" s="76" t="s">
        <v>157</v>
      </c>
      <c r="BB46" s="76"/>
    </row>
    <row r="47" spans="1:54" x14ac:dyDescent="0.25">
      <c r="A47" s="1">
        <v>40</v>
      </c>
      <c r="B47" s="27"/>
      <c r="C47" s="2"/>
      <c r="D47" s="28"/>
      <c r="E47" s="1"/>
      <c r="F47" s="73"/>
      <c r="G47" s="1"/>
      <c r="H47" s="103" t="s">
        <v>144</v>
      </c>
      <c r="I47" s="103"/>
      <c r="J47" s="103"/>
      <c r="K47" s="103"/>
      <c r="L47" s="103"/>
      <c r="M47" s="103"/>
      <c r="N47" s="103"/>
      <c r="O47" s="103" t="s">
        <v>142</v>
      </c>
      <c r="P47" s="103"/>
      <c r="Q47" s="103"/>
      <c r="R47" s="103"/>
      <c r="S47" s="103"/>
      <c r="T47" s="103"/>
      <c r="U47" s="103"/>
      <c r="V47" s="103"/>
      <c r="W47" s="103"/>
      <c r="X47" s="103"/>
      <c r="BA47" s="76" t="s">
        <v>158</v>
      </c>
      <c r="BB47" s="76"/>
    </row>
    <row r="48" spans="1:54" x14ac:dyDescent="0.25">
      <c r="BA48" s="76" t="s">
        <v>159</v>
      </c>
      <c r="BB48" s="76"/>
    </row>
    <row r="49" spans="53:54" x14ac:dyDescent="0.25">
      <c r="BA49" s="76" t="s">
        <v>160</v>
      </c>
      <c r="BB49" s="76"/>
    </row>
    <row r="50" spans="53:54" x14ac:dyDescent="0.25">
      <c r="BA50" s="76" t="s">
        <v>161</v>
      </c>
      <c r="BB50" s="76"/>
    </row>
    <row r="51" spans="53:54" x14ac:dyDescent="0.25">
      <c r="BA51" s="76" t="s">
        <v>162</v>
      </c>
      <c r="BB51" s="76"/>
    </row>
    <row r="52" spans="53:54" x14ac:dyDescent="0.25">
      <c r="BA52" s="76" t="s">
        <v>163</v>
      </c>
      <c r="BB52" s="76"/>
    </row>
  </sheetData>
  <mergeCells count="91">
    <mergeCell ref="A1:G2"/>
    <mergeCell ref="A3:G3"/>
    <mergeCell ref="A5:A7"/>
    <mergeCell ref="A4:B4"/>
    <mergeCell ref="B5:B6"/>
    <mergeCell ref="E6:G6"/>
    <mergeCell ref="E5:G5"/>
    <mergeCell ref="C4:G4"/>
    <mergeCell ref="H8:N8"/>
    <mergeCell ref="H9:N9"/>
    <mergeCell ref="H10:N10"/>
    <mergeCell ref="H11:N11"/>
    <mergeCell ref="BA1:BB6"/>
    <mergeCell ref="H12:N12"/>
    <mergeCell ref="H13:N13"/>
    <mergeCell ref="H14:N14"/>
    <mergeCell ref="H15:N15"/>
    <mergeCell ref="H16:N16"/>
    <mergeCell ref="H17:N17"/>
    <mergeCell ref="H18:N18"/>
    <mergeCell ref="H19:N19"/>
    <mergeCell ref="H20:N20"/>
    <mergeCell ref="H21:N21"/>
    <mergeCell ref="H22:N22"/>
    <mergeCell ref="H23:N23"/>
    <mergeCell ref="H24:N24"/>
    <mergeCell ref="H25:N25"/>
    <mergeCell ref="H26:N26"/>
    <mergeCell ref="H27:N27"/>
    <mergeCell ref="H28:N28"/>
    <mergeCell ref="H29:N29"/>
    <mergeCell ref="H30:N30"/>
    <mergeCell ref="H31:N31"/>
    <mergeCell ref="H32:N32"/>
    <mergeCell ref="H33:N33"/>
    <mergeCell ref="H34:N34"/>
    <mergeCell ref="H35:N35"/>
    <mergeCell ref="H36:N36"/>
    <mergeCell ref="H37:N37"/>
    <mergeCell ref="H38:N38"/>
    <mergeCell ref="H39:N39"/>
    <mergeCell ref="H40:N40"/>
    <mergeCell ref="H41:N41"/>
    <mergeCell ref="H42:N42"/>
    <mergeCell ref="H43:N43"/>
    <mergeCell ref="H44:N44"/>
    <mergeCell ref="H45:N45"/>
    <mergeCell ref="H46:N46"/>
    <mergeCell ref="H47:N47"/>
    <mergeCell ref="H7:N7"/>
    <mergeCell ref="O8:X8"/>
    <mergeCell ref="O9:X9"/>
    <mergeCell ref="O10:X10"/>
    <mergeCell ref="O11:X11"/>
    <mergeCell ref="O12:X12"/>
    <mergeCell ref="O13:X13"/>
    <mergeCell ref="O14:X14"/>
    <mergeCell ref="O15:X15"/>
    <mergeCell ref="O16:X16"/>
    <mergeCell ref="O17:X17"/>
    <mergeCell ref="O18:X18"/>
    <mergeCell ref="O19:X19"/>
    <mergeCell ref="O20:X20"/>
    <mergeCell ref="O21:X21"/>
    <mergeCell ref="O22:X22"/>
    <mergeCell ref="O23:X23"/>
    <mergeCell ref="O24:X24"/>
    <mergeCell ref="O25:X25"/>
    <mergeCell ref="O26:X26"/>
    <mergeCell ref="O36:X36"/>
    <mergeCell ref="O27:X27"/>
    <mergeCell ref="O28:X28"/>
    <mergeCell ref="O29:X29"/>
    <mergeCell ref="O30:X30"/>
    <mergeCell ref="O31:X31"/>
    <mergeCell ref="O47:X47"/>
    <mergeCell ref="O7:X7"/>
    <mergeCell ref="O42:X42"/>
    <mergeCell ref="O43:X43"/>
    <mergeCell ref="O44:X44"/>
    <mergeCell ref="O45:X45"/>
    <mergeCell ref="O46:X46"/>
    <mergeCell ref="O37:X37"/>
    <mergeCell ref="O38:X38"/>
    <mergeCell ref="O39:X39"/>
    <mergeCell ref="O40:X40"/>
    <mergeCell ref="O41:X41"/>
    <mergeCell ref="O32:X32"/>
    <mergeCell ref="O33:X33"/>
    <mergeCell ref="O34:X34"/>
    <mergeCell ref="O35:X35"/>
  </mergeCells>
  <dataValidations count="3">
    <dataValidation type="list" allowBlank="1" showInputMessage="1" showErrorMessage="1" sqref="F8:F47" xr:uid="{68D52474-8B8E-440E-B997-A6D1EBF604AB}">
      <formula1>"Male,Female"</formula1>
    </dataValidation>
    <dataValidation type="list" allowBlank="1" showInputMessage="1" showErrorMessage="1" sqref="H8:H47" xr:uid="{1C4A614D-1DB5-4592-AB79-AE860A82B6DE}">
      <formula1>$BA$8:$BA$52</formula1>
    </dataValidation>
    <dataValidation type="list" allowBlank="1" showInputMessage="1" showErrorMessage="1" sqref="O8:O47" xr:uid="{5DB94DE9-854F-47A2-902A-B6672AB06CA8}">
      <formula1>$BB$8:$BB$41</formula1>
    </dataValidation>
  </dataValidations>
  <pageMargins left="0.25" right="0.25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M51"/>
  <sheetViews>
    <sheetView workbookViewId="0">
      <selection activeCell="O40" sqref="O40"/>
    </sheetView>
  </sheetViews>
  <sheetFormatPr defaultRowHeight="15" x14ac:dyDescent="0.25"/>
  <cols>
    <col min="3" max="3" width="8.140625" customWidth="1"/>
    <col min="4" max="4" width="9.42578125" customWidth="1"/>
    <col min="5" max="5" width="10.5703125" customWidth="1"/>
    <col min="6" max="6" width="6.28515625" customWidth="1"/>
    <col min="7" max="8" width="5.85546875" customWidth="1"/>
    <col min="9" max="9" width="5.5703125" customWidth="1"/>
    <col min="10" max="11" width="5.28515625" customWidth="1"/>
    <col min="12" max="12" width="6.28515625" customWidth="1"/>
    <col min="13" max="13" width="5.7109375" customWidth="1"/>
  </cols>
  <sheetData>
    <row r="1" spans="1:13" ht="15" customHeight="1" x14ac:dyDescent="0.25">
      <c r="A1" s="10"/>
      <c r="B1" s="116" t="s">
        <v>185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</row>
    <row r="2" spans="1:13" ht="15" customHeight="1" x14ac:dyDescent="0.25">
      <c r="A2" s="10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</row>
    <row r="3" spans="1:13" ht="15.75" x14ac:dyDescent="0.25">
      <c r="A3" s="10"/>
      <c r="B3" s="117" t="s">
        <v>184</v>
      </c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</row>
    <row r="4" spans="1:13" ht="15.75" x14ac:dyDescent="0.25">
      <c r="A4" s="10"/>
      <c r="B4" s="118" t="s">
        <v>186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</row>
    <row r="5" spans="1:13" ht="15" customHeight="1" x14ac:dyDescent="0.25">
      <c r="A5" s="10"/>
      <c r="B5" s="119" t="s">
        <v>36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</row>
    <row r="6" spans="1:13" ht="15" customHeight="1" x14ac:dyDescent="0.25">
      <c r="A6" s="10"/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</row>
    <row r="7" spans="1:13" ht="15" customHeight="1" x14ac:dyDescent="0.25">
      <c r="I7" s="10"/>
      <c r="J7" s="10"/>
      <c r="K7" s="122" t="s">
        <v>105</v>
      </c>
      <c r="L7" s="122"/>
      <c r="M7" s="122"/>
    </row>
    <row r="8" spans="1:13" x14ac:dyDescent="0.25">
      <c r="A8" s="120" t="s">
        <v>37</v>
      </c>
      <c r="B8" s="120"/>
      <c r="C8" s="29" t="str">
        <f>('1st Term'!B9)</f>
        <v>ADAKARAZA SAMUEL</v>
      </c>
      <c r="D8" s="8"/>
      <c r="E8" s="8"/>
      <c r="F8" s="8"/>
      <c r="G8" s="8"/>
      <c r="H8" s="9"/>
      <c r="I8" s="10"/>
      <c r="J8" s="10"/>
      <c r="K8" s="122"/>
      <c r="L8" s="122"/>
      <c r="M8" s="122"/>
    </row>
    <row r="9" spans="1:13" x14ac:dyDescent="0.25">
      <c r="A9" s="121" t="s">
        <v>38</v>
      </c>
      <c r="B9" s="115"/>
      <c r="C9" s="29" t="str">
        <f>('1st Term'!B7)</f>
        <v>JSS 1A</v>
      </c>
      <c r="D9" s="8"/>
      <c r="E9" s="8"/>
      <c r="F9" s="8"/>
      <c r="G9" s="8"/>
      <c r="H9" s="9"/>
      <c r="I9" s="10"/>
      <c r="J9" s="10"/>
      <c r="K9" s="122"/>
      <c r="L9" s="122"/>
      <c r="M9" s="122"/>
    </row>
    <row r="10" spans="1:13" x14ac:dyDescent="0.25">
      <c r="A10" s="121" t="s">
        <v>39</v>
      </c>
      <c r="B10" s="115"/>
      <c r="C10" s="29" t="str">
        <f>(comments!C4)</f>
        <v>2025/2026</v>
      </c>
      <c r="D10" s="8"/>
      <c r="E10" s="8"/>
      <c r="F10" s="43"/>
      <c r="G10" s="43"/>
      <c r="H10" s="9"/>
      <c r="I10" s="10"/>
      <c r="J10" s="10"/>
      <c r="K10" s="122"/>
      <c r="L10" s="122"/>
      <c r="M10" s="122"/>
    </row>
    <row r="11" spans="1:13" x14ac:dyDescent="0.25">
      <c r="A11" s="121" t="s">
        <v>40</v>
      </c>
      <c r="B11" s="115"/>
      <c r="C11" s="30" t="str">
        <f>(comments!B5)</f>
        <v>THIRD TERM</v>
      </c>
      <c r="D11" s="7"/>
      <c r="E11" s="7"/>
      <c r="F11" s="13" t="s">
        <v>167</v>
      </c>
      <c r="G11" s="8"/>
      <c r="H11" s="53">
        <f>INDEX(comments!D8:D47,MATCH(sheet1!C8,comments!B8:B47,0))</f>
        <v>46.666666666666664</v>
      </c>
      <c r="I11" s="10"/>
      <c r="J11" s="10"/>
      <c r="K11" s="122"/>
      <c r="L11" s="122"/>
      <c r="M11" s="122"/>
    </row>
    <row r="12" spans="1:13" x14ac:dyDescent="0.25">
      <c r="A12" s="114" t="s">
        <v>41</v>
      </c>
      <c r="B12" s="115"/>
      <c r="C12" s="30" t="str">
        <f>(comments!E6)</f>
        <v>20TH APRIL 2026</v>
      </c>
      <c r="D12" s="7"/>
      <c r="E12" s="7"/>
      <c r="F12" s="13" t="s">
        <v>44</v>
      </c>
      <c r="G12" s="8"/>
      <c r="H12" s="51" t="str">
        <f>INDEX(comments!E8:E47,MATCH(sheet1!C8,comments!B8:B47,0))</f>
        <v>20th</v>
      </c>
      <c r="I12" s="10"/>
      <c r="J12" s="10"/>
      <c r="K12" s="123"/>
      <c r="L12" s="123"/>
      <c r="M12" s="123"/>
    </row>
    <row r="13" spans="1:13" x14ac:dyDescent="0.25">
      <c r="A13" s="48"/>
      <c r="B13" s="49"/>
      <c r="C13" s="50"/>
      <c r="F13" s="25"/>
      <c r="H13" s="52"/>
      <c r="I13" s="10"/>
      <c r="J13" s="10"/>
      <c r="K13" s="54"/>
      <c r="L13" s="54"/>
      <c r="M13" s="54"/>
    </row>
    <row r="14" spans="1:13" ht="16.5" customHeight="1" x14ac:dyDescent="0.25">
      <c r="A14" s="16" t="s">
        <v>48</v>
      </c>
      <c r="B14" s="8"/>
      <c r="C14" s="8"/>
      <c r="D14" s="13" t="s">
        <v>49</v>
      </c>
      <c r="E14" s="8"/>
      <c r="F14" s="8"/>
      <c r="G14" s="8"/>
      <c r="H14" s="15"/>
      <c r="I14" s="113" t="s">
        <v>50</v>
      </c>
      <c r="J14" s="45" t="s">
        <v>32</v>
      </c>
      <c r="K14" s="44"/>
      <c r="L14" s="17"/>
      <c r="M14" s="44" t="s">
        <v>52</v>
      </c>
    </row>
    <row r="15" spans="1:13" ht="21" customHeight="1" x14ac:dyDescent="0.25">
      <c r="A15" s="11" t="s">
        <v>46</v>
      </c>
      <c r="B15" s="7"/>
      <c r="C15" s="7"/>
      <c r="D15" s="55">
        <f>(comments!C6)</f>
        <v>110</v>
      </c>
      <c r="E15" s="8"/>
      <c r="F15" s="8"/>
      <c r="G15" s="8"/>
      <c r="H15" s="14"/>
      <c r="I15" s="113"/>
      <c r="J15" s="45" t="s">
        <v>33</v>
      </c>
      <c r="K15" s="44"/>
      <c r="L15" s="17"/>
      <c r="M15" s="44" t="s">
        <v>51</v>
      </c>
    </row>
    <row r="16" spans="1:13" ht="18.75" customHeight="1" x14ac:dyDescent="0.25">
      <c r="A16" s="12" t="s">
        <v>47</v>
      </c>
      <c r="B16" s="8"/>
      <c r="C16" s="8"/>
      <c r="D16" s="56">
        <f>VLOOKUP(C8,comments!B8:C47,2,FALSE)</f>
        <v>0</v>
      </c>
      <c r="E16" s="8"/>
      <c r="F16" s="8"/>
      <c r="G16" s="8"/>
      <c r="H16" s="14"/>
      <c r="I16" s="113"/>
      <c r="J16" s="45" t="s">
        <v>34</v>
      </c>
      <c r="K16" s="44"/>
      <c r="L16" s="17"/>
      <c r="M16" s="44" t="s">
        <v>51</v>
      </c>
    </row>
    <row r="17" spans="1:13" ht="17.25" customHeight="1" x14ac:dyDescent="0.25">
      <c r="A17" s="11" t="s">
        <v>45</v>
      </c>
      <c r="B17" s="7"/>
      <c r="C17" s="7"/>
      <c r="D17" s="56">
        <f>(comments!D6)</f>
        <v>22</v>
      </c>
      <c r="E17" s="8"/>
      <c r="F17" s="8"/>
      <c r="G17" s="8"/>
      <c r="H17" s="14"/>
      <c r="I17" s="113"/>
      <c r="J17" s="47" t="s">
        <v>35</v>
      </c>
      <c r="K17" s="46"/>
      <c r="L17" s="40"/>
      <c r="M17" s="44" t="s">
        <v>52</v>
      </c>
    </row>
    <row r="18" spans="1:13" ht="61.5" customHeight="1" x14ac:dyDescent="0.25">
      <c r="A18" s="111" t="s">
        <v>53</v>
      </c>
      <c r="B18" s="112"/>
      <c r="C18" s="19"/>
      <c r="D18" s="19"/>
      <c r="E18" s="19"/>
      <c r="F18" s="41" t="s">
        <v>172</v>
      </c>
      <c r="G18" s="41" t="s">
        <v>171</v>
      </c>
      <c r="H18" s="41" t="s">
        <v>173</v>
      </c>
      <c r="I18" s="42" t="s">
        <v>174</v>
      </c>
      <c r="J18" s="42" t="s">
        <v>175</v>
      </c>
      <c r="K18" s="41" t="s">
        <v>165</v>
      </c>
      <c r="L18" s="41" t="s">
        <v>166</v>
      </c>
      <c r="M18" s="41" t="s">
        <v>54</v>
      </c>
    </row>
    <row r="19" spans="1:13" ht="15" customHeight="1" x14ac:dyDescent="0.25">
      <c r="A19" s="20" t="s">
        <v>6</v>
      </c>
      <c r="B19" s="8"/>
      <c r="C19" s="8"/>
      <c r="D19" s="8"/>
      <c r="E19" s="8"/>
      <c r="F19" s="31">
        <f>VLOOKUP(C8,'3rd Term'!B9:AN48,2,FALSE)</f>
        <v>24</v>
      </c>
      <c r="G19" s="31">
        <f>VLOOKUP(C8,'3rd Term'!B9:AN48,3,FALSE)</f>
        <v>50</v>
      </c>
      <c r="H19" s="31">
        <f>SUM(F19:G19)</f>
        <v>74</v>
      </c>
      <c r="I19" s="5">
        <f>(VLOOKUP(C8,'2nd Term'!B9:AN48,2,FALSE))+(VLOOKUP(C8,'2nd Term'!B9:AN48,3,FALSE))</f>
        <v>56</v>
      </c>
      <c r="J19" s="31">
        <f>(VLOOKUP($C$8,'1st Term'!$B$9:$AN$48,2,FALSE))+(VLOOKUP($C$8,'1st Term'!$B$9:$AN$48,3,FALSE))</f>
        <v>56</v>
      </c>
      <c r="K19" s="31">
        <f>IF(SUM(H19:J19)=0,"-",SUM(H19:J19))</f>
        <v>186</v>
      </c>
      <c r="L19" s="26">
        <f t="shared" ref="L19:L37" si="0">IFERROR(((H19)+(I19)+(J19))/((--(H19&gt;0))+(--(I19&gt;0))+(--(J19&gt;0))),"-")</f>
        <v>62</v>
      </c>
      <c r="M19" s="31" t="str">
        <f>IF(L19="-","-",IF(L19&gt;=70,"A",IF(L19&gt;=50,"C",IF(L19&gt;=40,"P","F"))))</f>
        <v>C</v>
      </c>
    </row>
    <row r="20" spans="1:13" ht="15" customHeight="1" x14ac:dyDescent="0.25">
      <c r="A20" s="20" t="s">
        <v>3</v>
      </c>
      <c r="B20" s="8"/>
      <c r="C20" s="8"/>
      <c r="D20" s="8"/>
      <c r="E20" s="8"/>
      <c r="F20" s="1">
        <f>VLOOKUP(C8,'3rd Term'!B9:AN48,4,FALSE)</f>
        <v>22</v>
      </c>
      <c r="G20" s="31">
        <f>VLOOKUP(C8,'3rd Term'!B9:AN48,5,FALSE)</f>
        <v>38</v>
      </c>
      <c r="H20" s="31">
        <f t="shared" ref="H20:H37" si="1">SUM(F20:G20)</f>
        <v>60</v>
      </c>
      <c r="I20" s="31">
        <f>(VLOOKUP(C8,'2nd Term'!B9:AN48,4,FALSE))+(VLOOKUP(C8,'2nd Term'!B9:AN48,5,FALSE))</f>
        <v>48</v>
      </c>
      <c r="J20" s="31">
        <f>(VLOOKUP($C$8,'1st Term'!$B$9:$AN$48,4,FALSE))+(VLOOKUP($C$8,'1st Term'!$B$9:$AN$48,5,FALSE))</f>
        <v>56</v>
      </c>
      <c r="K20" s="31">
        <f t="shared" ref="K20:K37" si="2">IF(SUM(H20:J20)=0,"-",SUM(H20:J20))</f>
        <v>164</v>
      </c>
      <c r="L20" s="26">
        <f t="shared" si="0"/>
        <v>54.666666666666664</v>
      </c>
      <c r="M20" s="31" t="str">
        <f t="shared" ref="M20:M37" si="3">IF(L20="-","-",IF(L20&gt;=70,"A",IF(L20&gt;=50,"C",IF(L20&gt;=40,"P","F"))))</f>
        <v>C</v>
      </c>
    </row>
    <row r="21" spans="1:13" ht="15" customHeight="1" x14ac:dyDescent="0.25">
      <c r="A21" s="20" t="s">
        <v>4</v>
      </c>
      <c r="B21" s="8"/>
      <c r="C21" s="8"/>
      <c r="D21" s="8"/>
      <c r="E21" s="8"/>
      <c r="F21" s="1">
        <f>VLOOKUP(C8,'3rd Term'!B9:AN48,6,FALSE)</f>
        <v>27</v>
      </c>
      <c r="G21" s="31">
        <f>VLOOKUP(C8,'3rd Term'!B9:AN48,7,FALSE)</f>
        <v>47</v>
      </c>
      <c r="H21" s="31">
        <f t="shared" si="1"/>
        <v>74</v>
      </c>
      <c r="I21" s="31">
        <f>(VLOOKUP(C8,'2nd Term'!B9:AN48,6,FALSE))+(VLOOKUP(C8,'2nd Term'!B9:AN48,7,FALSE))</f>
        <v>40</v>
      </c>
      <c r="J21" s="31">
        <f>(VLOOKUP($C$8,'1st Term'!$B$9:$AN$48,6,FALSE))+(VLOOKUP($C$8,'1st Term'!$B$9:$AN$48,7,FALSE))</f>
        <v>25</v>
      </c>
      <c r="K21" s="31">
        <f t="shared" si="2"/>
        <v>139</v>
      </c>
      <c r="L21" s="26">
        <f t="shared" si="0"/>
        <v>46.333333333333336</v>
      </c>
      <c r="M21" s="31" t="str">
        <f t="shared" si="3"/>
        <v>P</v>
      </c>
    </row>
    <row r="22" spans="1:13" ht="15" customHeight="1" x14ac:dyDescent="0.25">
      <c r="A22" s="20" t="s">
        <v>5</v>
      </c>
      <c r="B22" s="8"/>
      <c r="C22" s="8"/>
      <c r="D22" s="8"/>
      <c r="E22" s="8"/>
      <c r="F22" s="1">
        <f>VLOOKUP(C8,'3rd Term'!B9:AN48,8,FALSE)</f>
        <v>24</v>
      </c>
      <c r="G22" s="31">
        <f>VLOOKUP(C8,'3rd Term'!B9:AN48,9,FALSE)</f>
        <v>43</v>
      </c>
      <c r="H22" s="31">
        <f t="shared" si="1"/>
        <v>67</v>
      </c>
      <c r="I22" s="31">
        <f>(VLOOKUP(C8,'2nd Term'!B9:AN48,8,FALSE))+(VLOOKUP(C8,'2nd Term'!B9:AN48,9,FALSE))</f>
        <v>40</v>
      </c>
      <c r="J22" s="31">
        <f>(VLOOKUP($C$8,'1st Term'!$B$9:$AN$48,8,FALSE))+(VLOOKUP($C$8,'1st Term'!$B$9:$AN$48,9,FALSE))</f>
        <v>32</v>
      </c>
      <c r="K22" s="31">
        <f t="shared" si="2"/>
        <v>139</v>
      </c>
      <c r="L22" s="26">
        <f t="shared" si="0"/>
        <v>46.333333333333336</v>
      </c>
      <c r="M22" s="31" t="str">
        <f t="shared" si="3"/>
        <v>P</v>
      </c>
    </row>
    <row r="23" spans="1:13" ht="15" customHeight="1" x14ac:dyDescent="0.25">
      <c r="A23" s="20" t="s">
        <v>7</v>
      </c>
      <c r="B23" s="8"/>
      <c r="C23" s="8"/>
      <c r="D23" s="8"/>
      <c r="E23" s="8"/>
      <c r="F23" s="1">
        <f>VLOOKUP(C8,'3rd Term'!B9:AN48,10,FALSE)</f>
        <v>21</v>
      </c>
      <c r="G23" s="31">
        <f>VLOOKUP(C8,'3rd Term'!B9:AN48,11,FALSE)</f>
        <v>30</v>
      </c>
      <c r="H23" s="31">
        <f t="shared" si="1"/>
        <v>51</v>
      </c>
      <c r="I23" s="31">
        <f>(VLOOKUP(C8,'2nd Term'!B9:AN48,10,FALSE))+(VLOOKUP(C8,'2nd Term'!B9:AN48,11,FALSE))</f>
        <v>33</v>
      </c>
      <c r="J23" s="31">
        <f>(VLOOKUP($C$8,'1st Term'!$B$9:$AN$48,10,FALSE))+(VLOOKUP($C$8,'1st Term'!$B$9:$AN$48,11,FALSE))</f>
        <v>33</v>
      </c>
      <c r="K23" s="31">
        <f t="shared" si="2"/>
        <v>117</v>
      </c>
      <c r="L23" s="26">
        <f t="shared" si="0"/>
        <v>39</v>
      </c>
      <c r="M23" s="31" t="str">
        <f t="shared" si="3"/>
        <v>F</v>
      </c>
    </row>
    <row r="24" spans="1:13" ht="15" customHeight="1" x14ac:dyDescent="0.25">
      <c r="A24" s="20" t="s">
        <v>8</v>
      </c>
      <c r="B24" s="8"/>
      <c r="C24" s="8"/>
      <c r="D24" s="8"/>
      <c r="E24" s="8"/>
      <c r="F24" s="1">
        <f>VLOOKUP(C8,'3rd Term'!B9:AN48,12,FALSE)</f>
        <v>25</v>
      </c>
      <c r="G24" s="31">
        <f>VLOOKUP(C8,'3rd Term'!B9:AN48,13,FALSE)</f>
        <v>43</v>
      </c>
      <c r="H24" s="31">
        <f t="shared" si="1"/>
        <v>68</v>
      </c>
      <c r="I24" s="31">
        <f>(VLOOKUP(C8,'2nd Term'!B9:AN48,12,FALSE))+(VLOOKUP(C8,'2nd Term'!B9:AN48,13,FALSE))</f>
        <v>30</v>
      </c>
      <c r="J24" s="31">
        <f>(VLOOKUP($C$8,'1st Term'!$B$9:$AN$48,12,FALSE))+(VLOOKUP($C$8,'1st Term'!$B$9:$AN$48,13,FALSE))</f>
        <v>27</v>
      </c>
      <c r="K24" s="31">
        <f t="shared" si="2"/>
        <v>125</v>
      </c>
      <c r="L24" s="26">
        <f t="shared" si="0"/>
        <v>41.666666666666664</v>
      </c>
      <c r="M24" s="31" t="str">
        <f t="shared" si="3"/>
        <v>P</v>
      </c>
    </row>
    <row r="25" spans="1:13" ht="15" customHeight="1" x14ac:dyDescent="0.25">
      <c r="A25" s="20" t="s">
        <v>9</v>
      </c>
      <c r="B25" s="8"/>
      <c r="C25" s="8"/>
      <c r="D25" s="8"/>
      <c r="E25" s="8"/>
      <c r="F25" s="1">
        <f>VLOOKUP(C8,'3rd Term'!B9:AN48,14,FALSE)</f>
        <v>28</v>
      </c>
      <c r="G25" s="31">
        <f>VLOOKUP(C8,'3rd Term'!B9:AN48,15,FALSE)</f>
        <v>41</v>
      </c>
      <c r="H25" s="31">
        <f t="shared" si="1"/>
        <v>69</v>
      </c>
      <c r="I25" s="31">
        <f>(VLOOKUP(C8,'2nd Term'!B9:AN48,14,FALSE))+(VLOOKUP(C8,'2nd Term'!B9:AN48,15,FALSE))</f>
        <v>48</v>
      </c>
      <c r="J25" s="31">
        <f>(VLOOKUP($C$8,'1st Term'!$B$9:$AN$48,14,FALSE))+(VLOOKUP($C$8,'1st Term'!$B$9:$AN$48,15,FALSE))</f>
        <v>51</v>
      </c>
      <c r="K25" s="31">
        <f t="shared" si="2"/>
        <v>168</v>
      </c>
      <c r="L25" s="26">
        <f t="shared" si="0"/>
        <v>56</v>
      </c>
      <c r="M25" s="31" t="str">
        <f t="shared" si="3"/>
        <v>C</v>
      </c>
    </row>
    <row r="26" spans="1:13" ht="15" customHeight="1" x14ac:dyDescent="0.25">
      <c r="A26" s="20" t="s">
        <v>10</v>
      </c>
      <c r="B26" s="8"/>
      <c r="C26" s="8"/>
      <c r="D26" s="8"/>
      <c r="E26" s="8"/>
      <c r="F26" s="1">
        <f>VLOOKUP(C8,'3rd Term'!B9:AN48,16,FALSE)</f>
        <v>23</v>
      </c>
      <c r="G26" s="31">
        <f>VLOOKUP(C8,'3rd Term'!B9:AN48,17,FALSE)</f>
        <v>32</v>
      </c>
      <c r="H26" s="31">
        <f t="shared" si="1"/>
        <v>55</v>
      </c>
      <c r="I26" s="31">
        <f>(VLOOKUP(C8,'2nd Term'!B9:AN48,16,FALSE))+(VLOOKUP(C8,'2nd Term'!B9:AN48,17,FALSE))</f>
        <v>40</v>
      </c>
      <c r="J26" s="31">
        <f>(VLOOKUP($C$8,'1st Term'!$B$9:$AN$48,16,FALSE))+(VLOOKUP($C$8,'1st Term'!$B$9:$AN$48,17,FALSE))</f>
        <v>24</v>
      </c>
      <c r="K26" s="31">
        <f t="shared" si="2"/>
        <v>119</v>
      </c>
      <c r="L26" s="26">
        <f t="shared" si="0"/>
        <v>39.666666666666664</v>
      </c>
      <c r="M26" s="31" t="str">
        <f t="shared" si="3"/>
        <v>F</v>
      </c>
    </row>
    <row r="27" spans="1:13" ht="15" hidden="1" customHeight="1" x14ac:dyDescent="0.25">
      <c r="A27" s="20" t="s">
        <v>11</v>
      </c>
      <c r="B27" s="8"/>
      <c r="C27" s="8"/>
      <c r="D27" s="8"/>
      <c r="E27" s="8"/>
      <c r="F27" s="1">
        <f>VLOOKUP(C8,'3rd Term'!B9:AN48,18,FALSE)</f>
        <v>0</v>
      </c>
      <c r="G27" s="31">
        <f>VLOOKUP(C8,'3rd Term'!B9:AN48,19,FALSE)</f>
        <v>0</v>
      </c>
      <c r="H27" s="31">
        <f t="shared" si="1"/>
        <v>0</v>
      </c>
      <c r="I27" s="31">
        <f>(VLOOKUP(C8,'2nd Term'!B9:AN48,18,FALSE))+(VLOOKUP(C8,'2nd Term'!B9:AN48,19,FALSE))</f>
        <v>0</v>
      </c>
      <c r="J27" s="31">
        <f>(VLOOKUP($C$8,'1st Term'!$B$9:$AN$48,18,FALSE))+(VLOOKUP($C$8,'1st Term'!$B$9:$AN$48,19,FALSE))</f>
        <v>0</v>
      </c>
      <c r="K27" s="31" t="str">
        <f t="shared" si="2"/>
        <v>-</v>
      </c>
      <c r="L27" s="26" t="str">
        <f t="shared" si="0"/>
        <v>-</v>
      </c>
      <c r="M27" s="31" t="str">
        <f t="shared" si="3"/>
        <v>-</v>
      </c>
    </row>
    <row r="28" spans="1:13" ht="15" customHeight="1" x14ac:dyDescent="0.25">
      <c r="A28" s="20" t="s">
        <v>13</v>
      </c>
      <c r="B28" s="8"/>
      <c r="C28" s="8"/>
      <c r="D28" s="8"/>
      <c r="E28" s="8"/>
      <c r="F28" s="1">
        <f>VLOOKUP(C8,'3rd Term'!B9:AN48,20,FALSE)</f>
        <v>21</v>
      </c>
      <c r="G28" s="31">
        <f>VLOOKUP(C8,'3rd Term'!B9:AN48,21,FALSE)</f>
        <v>48</v>
      </c>
      <c r="H28" s="31">
        <f t="shared" si="1"/>
        <v>69</v>
      </c>
      <c r="I28" s="31">
        <f>(VLOOKUP(C8,'2nd Term'!B9:AN48,20,FALSE))+(VLOOKUP(C8,'2nd Term'!B9:AN48,21,FALSE))</f>
        <v>58</v>
      </c>
      <c r="J28" s="31">
        <f>(VLOOKUP($C$8,'1st Term'!$B$9:$AN$48,20,FALSE))+(VLOOKUP($C$8,'1st Term'!$B$9:$AN$48,21,FALSE))</f>
        <v>23</v>
      </c>
      <c r="K28" s="31">
        <f t="shared" si="2"/>
        <v>150</v>
      </c>
      <c r="L28" s="26">
        <f t="shared" si="0"/>
        <v>50</v>
      </c>
      <c r="M28" s="31" t="str">
        <f t="shared" si="3"/>
        <v>C</v>
      </c>
    </row>
    <row r="29" spans="1:13" x14ac:dyDescent="0.25">
      <c r="A29" s="20" t="s">
        <v>14</v>
      </c>
      <c r="B29" s="8"/>
      <c r="C29" s="8"/>
      <c r="D29" s="8"/>
      <c r="E29" s="8"/>
      <c r="F29" s="1">
        <f>VLOOKUP(C8,'3rd Term'!B9:AN48,22,FALSE)</f>
        <v>15</v>
      </c>
      <c r="G29" s="31">
        <f>VLOOKUP(C8,'3rd Term'!B9:AN48,23,FALSE)</f>
        <v>42</v>
      </c>
      <c r="H29" s="31">
        <f t="shared" si="1"/>
        <v>57</v>
      </c>
      <c r="I29" s="31">
        <f>(VLOOKUP(C8,'2nd Term'!B9:AN48,22,FALSE))+(VLOOKUP(C8,'2nd Term'!B9:AN48,23,FALSE))</f>
        <v>37</v>
      </c>
      <c r="J29" s="31">
        <f>(VLOOKUP($C$8,'1st Term'!$B$9:$AN$48,22,FALSE))+(VLOOKUP($C$8,'1st Term'!$B$9:$AN$48,23,FALSE))</f>
        <v>26</v>
      </c>
      <c r="K29" s="31">
        <f t="shared" si="2"/>
        <v>120</v>
      </c>
      <c r="L29" s="26">
        <f t="shared" si="0"/>
        <v>40</v>
      </c>
      <c r="M29" s="31" t="str">
        <f t="shared" si="3"/>
        <v>P</v>
      </c>
    </row>
    <row r="30" spans="1:13" x14ac:dyDescent="0.25">
      <c r="A30" s="20" t="s">
        <v>15</v>
      </c>
      <c r="B30" s="8"/>
      <c r="C30" s="8"/>
      <c r="D30" s="8"/>
      <c r="E30" s="8"/>
      <c r="F30" s="1">
        <f>VLOOKUP(C8,'3rd Term'!B9:AN48,24,FALSE)</f>
        <v>24</v>
      </c>
      <c r="G30" s="31">
        <f>VLOOKUP(C8,'3rd Term'!B9:AN48,25,FALSE)</f>
        <v>40</v>
      </c>
      <c r="H30" s="31">
        <f t="shared" si="1"/>
        <v>64</v>
      </c>
      <c r="I30" s="31">
        <f>(VLOOKUP(C8,'2nd Term'!B9:AN48,24,FALSE))+(VLOOKUP(C8,'2nd Term'!B9:AN48,25,FALSE))</f>
        <v>37</v>
      </c>
      <c r="J30" s="31">
        <f>(VLOOKUP($C$8,'1st Term'!$B$9:$AN$48,24,FALSE))+(VLOOKUP($C$8,'1st Term'!$B$9:$AN$48,25,FALSE))</f>
        <v>44</v>
      </c>
      <c r="K30" s="31">
        <f t="shared" si="2"/>
        <v>145</v>
      </c>
      <c r="L30" s="26">
        <f t="shared" si="0"/>
        <v>48.333333333333336</v>
      </c>
      <c r="M30" s="31" t="str">
        <f t="shared" si="3"/>
        <v>P</v>
      </c>
    </row>
    <row r="31" spans="1:13" hidden="1" x14ac:dyDescent="0.25">
      <c r="A31" s="20" t="s">
        <v>22</v>
      </c>
      <c r="B31" s="8"/>
      <c r="C31" s="8"/>
      <c r="D31" s="8"/>
      <c r="E31" s="8"/>
      <c r="F31" s="1">
        <f>VLOOKUP(C8,'3rd Term'!B9:AN48,26,FALSE)</f>
        <v>0</v>
      </c>
      <c r="G31" s="31">
        <f>VLOOKUP(C8,'3rd Term'!B9:AN48,27,FALSE)</f>
        <v>0</v>
      </c>
      <c r="H31" s="31">
        <f t="shared" si="1"/>
        <v>0</v>
      </c>
      <c r="I31" s="31">
        <f>(VLOOKUP(C8,'2nd Term'!B9:AN48,26,FALSE))+(VLOOKUP(C8,'2nd Term'!B9:AN48,27,FALSE))</f>
        <v>0</v>
      </c>
      <c r="J31" s="31">
        <f>(VLOOKUP($C$8,'1st Term'!$B$9:$AN$48,26,FALSE))+(VLOOKUP($C$8,'1st Term'!$B$9:$AN$48,27,FALSE))</f>
        <v>0</v>
      </c>
      <c r="K31" s="31" t="str">
        <f t="shared" si="2"/>
        <v>-</v>
      </c>
      <c r="L31" s="26" t="str">
        <f t="shared" si="0"/>
        <v>-</v>
      </c>
      <c r="M31" s="31" t="str">
        <f t="shared" si="3"/>
        <v>-</v>
      </c>
    </row>
    <row r="32" spans="1:13" x14ac:dyDescent="0.25">
      <c r="A32" s="20" t="s">
        <v>16</v>
      </c>
      <c r="B32" s="8"/>
      <c r="C32" s="8"/>
      <c r="D32" s="8"/>
      <c r="E32" s="8"/>
      <c r="F32" s="1">
        <f>VLOOKUP(C8,'3rd Term'!B9:AN48,28,FALSE)</f>
        <v>21</v>
      </c>
      <c r="G32" s="31">
        <f>VLOOKUP(C8,'3rd Term'!B9:AN48,29,FALSE)</f>
        <v>20</v>
      </c>
      <c r="H32" s="31">
        <f t="shared" si="1"/>
        <v>41</v>
      </c>
      <c r="I32" s="31">
        <f>(VLOOKUP(C8,'2nd Term'!B9:AN48,28,FALSE))+(VLOOKUP(C8,'2nd Term'!B9:AN48,29,FALSE))</f>
        <v>25</v>
      </c>
      <c r="J32" s="31">
        <f>(VLOOKUP($C$8,'1st Term'!$B$9:$AN$48,28,FALSE))+(VLOOKUP($C$8,'1st Term'!$B$9:$AN$48,29,FALSE))</f>
        <v>28</v>
      </c>
      <c r="K32" s="31">
        <f t="shared" si="2"/>
        <v>94</v>
      </c>
      <c r="L32" s="26">
        <f t="shared" si="0"/>
        <v>31.333333333333332</v>
      </c>
      <c r="M32" s="31" t="str">
        <f t="shared" si="3"/>
        <v>F</v>
      </c>
    </row>
    <row r="33" spans="1:13" x14ac:dyDescent="0.25">
      <c r="A33" s="20" t="s">
        <v>17</v>
      </c>
      <c r="B33" s="8"/>
      <c r="C33" s="8"/>
      <c r="D33" s="8"/>
      <c r="E33" s="8"/>
      <c r="F33" s="1">
        <f>VLOOKUP(C8,'3rd Term'!B9:AN48,30,FALSE)</f>
        <v>29</v>
      </c>
      <c r="G33" s="31">
        <f>VLOOKUP(C8,'3rd Term'!B9:AN48,31,FALSE)</f>
        <v>40</v>
      </c>
      <c r="H33" s="31">
        <f t="shared" si="1"/>
        <v>69</v>
      </c>
      <c r="I33" s="31">
        <f>(VLOOKUP(C8,'2nd Term'!B9:AN48,30,FALSE))+(VLOOKUP(C8,'2nd Term'!B9:AN48,31,FALSE))</f>
        <v>50</v>
      </c>
      <c r="J33" s="31">
        <f>(VLOOKUP($C$8,'1st Term'!$B$9:$AN$48,30,FALSE))+(VLOOKUP($C$8,'1st Term'!$B$9:$AN$48,31,FALSE))</f>
        <v>40</v>
      </c>
      <c r="K33" s="31">
        <f t="shared" si="2"/>
        <v>159</v>
      </c>
      <c r="L33" s="26">
        <f t="shared" si="0"/>
        <v>53</v>
      </c>
      <c r="M33" s="31" t="str">
        <f t="shared" si="3"/>
        <v>C</v>
      </c>
    </row>
    <row r="34" spans="1:13" x14ac:dyDescent="0.25">
      <c r="A34" s="20" t="s">
        <v>18</v>
      </c>
      <c r="B34" s="8"/>
      <c r="C34" s="8"/>
      <c r="D34" s="8"/>
      <c r="E34" s="8"/>
      <c r="F34" s="1">
        <f>VLOOKUP(C8,'3rd Term'!B9:AN48,32,FALSE)</f>
        <v>24</v>
      </c>
      <c r="G34" s="31">
        <f>VLOOKUP(C8,'3rd Term'!B9:AN48,33,FALSE)</f>
        <v>44</v>
      </c>
      <c r="H34" s="31">
        <f t="shared" si="1"/>
        <v>68</v>
      </c>
      <c r="I34" s="31">
        <f>(VLOOKUP(C8,'2nd Term'!B9:AN48,32,FALSE))+(VLOOKUP(C8,'2nd Term'!B9:AN48,33,FALSE))</f>
        <v>39</v>
      </c>
      <c r="J34" s="31">
        <f>(VLOOKUP($C$8,'1st Term'!$B$9:$AN$48,32,FALSE))+(VLOOKUP($C$8,'1st Term'!$B$9:$AN$48,33,FALSE))</f>
        <v>39</v>
      </c>
      <c r="K34" s="31">
        <f t="shared" si="2"/>
        <v>146</v>
      </c>
      <c r="L34" s="26">
        <f t="shared" si="0"/>
        <v>48.666666666666664</v>
      </c>
      <c r="M34" s="31" t="str">
        <f t="shared" si="3"/>
        <v>P</v>
      </c>
    </row>
    <row r="35" spans="1:13" x14ac:dyDescent="0.25">
      <c r="A35" s="20" t="s">
        <v>19</v>
      </c>
      <c r="B35" s="8"/>
      <c r="C35" s="8"/>
      <c r="D35" s="8"/>
      <c r="E35" s="8"/>
      <c r="F35" s="1">
        <f>VLOOKUP(C8,'3rd Term'!B9:AN48,34,FALSE)</f>
        <v>23</v>
      </c>
      <c r="G35" s="31">
        <f>VLOOKUP(C8,'3rd Term'!B9:AN48,35,FALSE)</f>
        <v>32</v>
      </c>
      <c r="H35" s="31">
        <f t="shared" si="1"/>
        <v>55</v>
      </c>
      <c r="I35" s="31">
        <f>(VLOOKUP(C8,'2nd Term'!B9:AN48,34,FALSE))+(VLOOKUP(C8,'2nd Term'!B9:AN48,35,FALSE))</f>
        <v>31</v>
      </c>
      <c r="J35" s="31">
        <f>(VLOOKUP($C$8,'1st Term'!$B$9:$AN$48,34,FALSE))+(VLOOKUP($C$8,'1st Term'!$B$9:$AN$48,35,FALSE))</f>
        <v>18</v>
      </c>
      <c r="K35" s="31">
        <f t="shared" si="2"/>
        <v>104</v>
      </c>
      <c r="L35" s="26">
        <f t="shared" si="0"/>
        <v>34.666666666666664</v>
      </c>
      <c r="M35" s="31" t="str">
        <f t="shared" si="3"/>
        <v>F</v>
      </c>
    </row>
    <row r="36" spans="1:13" x14ac:dyDescent="0.25">
      <c r="A36" s="20" t="s">
        <v>20</v>
      </c>
      <c r="B36" s="8"/>
      <c r="C36" s="8"/>
      <c r="D36" s="8"/>
      <c r="E36" s="8"/>
      <c r="F36" s="1">
        <f>VLOOKUP(C8,'3rd Term'!B9:AN48,36,FALSE)</f>
        <v>26</v>
      </c>
      <c r="G36" s="31">
        <f>VLOOKUP(C8,'3rd Term'!B9:AN48,37,FALSE)</f>
        <v>45</v>
      </c>
      <c r="H36" s="31">
        <f t="shared" si="1"/>
        <v>71</v>
      </c>
      <c r="I36" s="31">
        <f>(VLOOKUP(C8,'2nd Term'!B9:AN48,36,FALSE))+(VLOOKUP(C8,'2nd Term'!B9:AN48,37,FALSE))</f>
        <v>39</v>
      </c>
      <c r="J36" s="31">
        <f>(VLOOKUP($C$8,'1st Term'!$B$9:$AN$48,36,FALSE))+(VLOOKUP($C$8,'1st Term'!$B$9:$AN$48,37,FALSE))</f>
        <v>31</v>
      </c>
      <c r="K36" s="31">
        <f t="shared" si="2"/>
        <v>141</v>
      </c>
      <c r="L36" s="26">
        <f t="shared" si="0"/>
        <v>47</v>
      </c>
      <c r="M36" s="31" t="str">
        <f t="shared" si="3"/>
        <v>P</v>
      </c>
    </row>
    <row r="37" spans="1:13" x14ac:dyDescent="0.25">
      <c r="A37" s="18" t="s">
        <v>21</v>
      </c>
      <c r="B37" s="7"/>
      <c r="C37" s="7"/>
      <c r="D37" s="7"/>
      <c r="E37" s="7"/>
      <c r="F37" s="57">
        <f>VLOOKUP(C8,'3rd Term'!B9:AN48,38,FALSE)</f>
        <v>25</v>
      </c>
      <c r="G37" s="31">
        <f>VLOOKUP(C8,'3rd Term'!B9:AN48,39,FALSE)</f>
        <v>57</v>
      </c>
      <c r="H37" s="31">
        <f t="shared" si="1"/>
        <v>82</v>
      </c>
      <c r="I37" s="31">
        <f>(VLOOKUP(C8,'2nd Term'!B9:AN48,38,FALSE))+(VLOOKUP(C8,'2nd Term'!B9:AN48,39,FALSE))</f>
        <v>39</v>
      </c>
      <c r="J37" s="31">
        <f>(VLOOKUP($C$8,'1st Term'!$B$9:$AN$48,38,FALSE))+(VLOOKUP($C$8,'1st Term'!$B$9:$AN$48,39,FALSE))</f>
        <v>43</v>
      </c>
      <c r="K37" s="31">
        <f t="shared" si="2"/>
        <v>164</v>
      </c>
      <c r="L37" s="26">
        <f t="shared" si="0"/>
        <v>54.666666666666664</v>
      </c>
      <c r="M37" s="31" t="str">
        <f t="shared" si="3"/>
        <v>C</v>
      </c>
    </row>
    <row r="43" spans="1:13" x14ac:dyDescent="0.25">
      <c r="G43" s="110" t="s">
        <v>62</v>
      </c>
      <c r="H43" s="110"/>
      <c r="I43" s="110"/>
      <c r="J43" s="110"/>
      <c r="K43" s="110"/>
      <c r="L43" s="110"/>
      <c r="M43" s="110"/>
    </row>
    <row r="44" spans="1:13" x14ac:dyDescent="0.25">
      <c r="A44" s="77" t="s">
        <v>58</v>
      </c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</row>
    <row r="45" spans="1:13" ht="12.75" customHeight="1" x14ac:dyDescent="0.25">
      <c r="A45" s="50" t="str">
        <f>VLOOKUP(C8,comments!B8:X47,7,0)</f>
        <v>He is sometimes playful in class and needs to concentrate more.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</row>
    <row r="46" spans="1:13" x14ac:dyDescent="0.25">
      <c r="A46" s="50"/>
      <c r="B46" s="50"/>
      <c r="C46" s="50"/>
      <c r="D46" s="50"/>
      <c r="E46" s="50"/>
      <c r="F46" s="78"/>
      <c r="G46" s="78"/>
      <c r="H46" s="78"/>
      <c r="I46" s="78"/>
      <c r="J46" s="78"/>
      <c r="K46" s="78"/>
      <c r="L46" s="78"/>
      <c r="M46" s="78"/>
    </row>
    <row r="47" spans="1:13" x14ac:dyDescent="0.25">
      <c r="A47" s="79" t="s">
        <v>60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</row>
    <row r="48" spans="1:13" ht="12" customHeight="1" x14ac:dyDescent="0.25">
      <c r="A48" s="50" t="str">
        <f>VLOOKUP(C8,comments!B8:X47,14,0)</f>
        <v>Poor result. Learn to devote time to private/personal studies. Promoted to the Next Class.</v>
      </c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</row>
    <row r="49" spans="1:13" x14ac:dyDescent="0.25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</row>
    <row r="50" spans="1:13" x14ac:dyDescent="0.25">
      <c r="A50" s="79" t="s">
        <v>59</v>
      </c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</row>
    <row r="51" spans="1:13" ht="12" customHeight="1" x14ac:dyDescent="0.25">
      <c r="A51" s="78" t="s">
        <v>61</v>
      </c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</row>
  </sheetData>
  <sheetProtection algorithmName="SHA-512" hashValue="dQycGkY/Zk1GHWkeIcFl2JjxGzDrVtDaUQBoiezhdxKbPUQgB0wjnXqaxRXPDFc+BPNHL6LxxLYTvqV1TvN9Kg==" saltValue="j2mseyyEUqlzKn7TDh4hOw==" spinCount="100000" sheet="1" scenarios="1"/>
  <mergeCells count="13">
    <mergeCell ref="G43:M43"/>
    <mergeCell ref="A18:B18"/>
    <mergeCell ref="I14:I17"/>
    <mergeCell ref="A12:B12"/>
    <mergeCell ref="B1:M2"/>
    <mergeCell ref="B3:M3"/>
    <mergeCell ref="B4:M4"/>
    <mergeCell ref="B5:M6"/>
    <mergeCell ref="A8:B8"/>
    <mergeCell ref="A9:B9"/>
    <mergeCell ref="A10:B10"/>
    <mergeCell ref="A11:B11"/>
    <mergeCell ref="K7:M12"/>
  </mergeCells>
  <conditionalFormatting sqref="M19:M37">
    <cfRule type="cellIs" dxfId="109" priority="3" operator="equal">
      <formula>"F"</formula>
    </cfRule>
    <cfRule type="cellIs" dxfId="108" priority="4" operator="equal">
      <formula>"P"</formula>
    </cfRule>
    <cfRule type="cellIs" dxfId="107" priority="5" operator="equal">
      <formula>"C"</formula>
    </cfRule>
    <cfRule type="cellIs" dxfId="106" priority="6" operator="equal">
      <formula>"A"</formula>
    </cfRule>
  </conditionalFormatting>
  <conditionalFormatting sqref="F19:J37">
    <cfRule type="cellIs" dxfId="105" priority="1" operator="equal">
      <formula>0</formula>
    </cfRule>
    <cfRule type="colorScale" priority="2">
      <colorScale>
        <cfvo type="min"/>
        <cfvo type="num" val="0"/>
        <color rgb="FFFF7128"/>
        <color theme="0"/>
      </colorScale>
    </cfRule>
  </conditionalFormatting>
  <dataValidations disablePrompts="1" count="1">
    <dataValidation type="list" allowBlank="1" showInputMessage="1" showErrorMessage="1" sqref="M14:M17" xr:uid="{00000000-0002-0000-0200-000000000000}">
      <formula1>"A,B,C,D,E"</formula1>
    </dataValidation>
  </dataValidations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3A9E7-9C0E-4537-B54B-CB676B9A9F64}">
  <sheetPr>
    <tabColor rgb="FF7030A0"/>
  </sheetPr>
  <dimension ref="A1:M51"/>
  <sheetViews>
    <sheetView workbookViewId="0">
      <selection activeCell="O12" sqref="O12"/>
    </sheetView>
  </sheetViews>
  <sheetFormatPr defaultRowHeight="15" x14ac:dyDescent="0.25"/>
  <cols>
    <col min="3" max="3" width="8.140625" customWidth="1"/>
    <col min="4" max="4" width="9.42578125" customWidth="1"/>
    <col min="5" max="5" width="10.5703125" customWidth="1"/>
    <col min="6" max="6" width="6.28515625" customWidth="1"/>
    <col min="7" max="8" width="5.85546875" customWidth="1"/>
    <col min="9" max="9" width="5.5703125" customWidth="1"/>
    <col min="10" max="11" width="5.28515625" customWidth="1"/>
    <col min="12" max="12" width="6.28515625" customWidth="1"/>
    <col min="13" max="13" width="5.7109375" customWidth="1"/>
  </cols>
  <sheetData>
    <row r="1" spans="1:13" ht="15" customHeight="1" x14ac:dyDescent="0.25">
      <c r="A1" s="10"/>
      <c r="B1" s="116" t="s">
        <v>185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</row>
    <row r="2" spans="1:13" ht="15" customHeight="1" x14ac:dyDescent="0.25">
      <c r="A2" s="10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</row>
    <row r="3" spans="1:13" ht="15.75" x14ac:dyDescent="0.25">
      <c r="A3" s="10"/>
      <c r="B3" s="117" t="s">
        <v>184</v>
      </c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</row>
    <row r="4" spans="1:13" ht="15.75" x14ac:dyDescent="0.25">
      <c r="A4" s="10"/>
      <c r="B4" s="118" t="s">
        <v>186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</row>
    <row r="5" spans="1:13" ht="15" customHeight="1" x14ac:dyDescent="0.25">
      <c r="A5" s="10"/>
      <c r="B5" s="119" t="s">
        <v>36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</row>
    <row r="6" spans="1:13" ht="15" customHeight="1" x14ac:dyDescent="0.25">
      <c r="A6" s="10"/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</row>
    <row r="7" spans="1:13" ht="15" customHeight="1" x14ac:dyDescent="0.25">
      <c r="I7" s="10"/>
      <c r="J7" s="10"/>
      <c r="K7" s="122" t="s">
        <v>105</v>
      </c>
      <c r="L7" s="122"/>
      <c r="M7" s="122"/>
    </row>
    <row r="8" spans="1:13" x14ac:dyDescent="0.25">
      <c r="A8" s="120" t="s">
        <v>37</v>
      </c>
      <c r="B8" s="120"/>
      <c r="C8" s="29" t="str">
        <f>('1st Term'!B10)</f>
        <v>ADEOLA PEDRO</v>
      </c>
      <c r="D8" s="8"/>
      <c r="E8" s="8"/>
      <c r="F8" s="8"/>
      <c r="G8" s="8"/>
      <c r="H8" s="9"/>
      <c r="I8" s="10"/>
      <c r="J8" s="10"/>
      <c r="K8" s="122"/>
      <c r="L8" s="122"/>
      <c r="M8" s="122"/>
    </row>
    <row r="9" spans="1:13" x14ac:dyDescent="0.25">
      <c r="A9" s="121" t="s">
        <v>38</v>
      </c>
      <c r="B9" s="115"/>
      <c r="C9" s="29" t="str">
        <f>('1st Term'!B7)</f>
        <v>JSS 1A</v>
      </c>
      <c r="D9" s="8"/>
      <c r="E9" s="8"/>
      <c r="F9" s="8"/>
      <c r="G9" s="8"/>
      <c r="H9" s="9"/>
      <c r="I9" s="10"/>
      <c r="J9" s="10"/>
      <c r="K9" s="122"/>
      <c r="L9" s="122"/>
      <c r="M9" s="122"/>
    </row>
    <row r="10" spans="1:13" x14ac:dyDescent="0.25">
      <c r="A10" s="121" t="s">
        <v>39</v>
      </c>
      <c r="B10" s="115"/>
      <c r="C10" s="29" t="str">
        <f>(comments!C4)</f>
        <v>2025/2026</v>
      </c>
      <c r="D10" s="8"/>
      <c r="E10" s="8"/>
      <c r="F10" s="43"/>
      <c r="G10" s="43"/>
      <c r="H10" s="9"/>
      <c r="I10" s="10"/>
      <c r="J10" s="10"/>
      <c r="K10" s="122"/>
      <c r="L10" s="122"/>
      <c r="M10" s="122"/>
    </row>
    <row r="11" spans="1:13" x14ac:dyDescent="0.25">
      <c r="A11" s="121" t="s">
        <v>40</v>
      </c>
      <c r="B11" s="115"/>
      <c r="C11" s="30" t="str">
        <f>(comments!B5)</f>
        <v>THIRD TERM</v>
      </c>
      <c r="D11" s="7"/>
      <c r="E11" s="7"/>
      <c r="F11" s="13" t="s">
        <v>167</v>
      </c>
      <c r="G11" s="8"/>
      <c r="H11" s="53">
        <f>INDEX(comments!D8:D47,MATCH(sheet2!C8,comments!B8:B47,0))</f>
        <v>51.019607843137258</v>
      </c>
      <c r="I11" s="10"/>
      <c r="J11" s="10"/>
      <c r="K11" s="122"/>
      <c r="L11" s="122"/>
      <c r="M11" s="122"/>
    </row>
    <row r="12" spans="1:13" x14ac:dyDescent="0.25">
      <c r="A12" s="114" t="s">
        <v>41</v>
      </c>
      <c r="B12" s="115"/>
      <c r="C12" s="30" t="str">
        <f>(comments!E6)</f>
        <v>20TH APRIL 2026</v>
      </c>
      <c r="D12" s="7"/>
      <c r="E12" s="7"/>
      <c r="F12" s="13" t="s">
        <v>44</v>
      </c>
      <c r="G12" s="8"/>
      <c r="H12" s="51" t="str">
        <f>INDEX(comments!E8:E47,MATCH(sheet2!C8,comments!B8:B47,0))</f>
        <v>14th</v>
      </c>
      <c r="I12" s="10"/>
      <c r="J12" s="10"/>
      <c r="K12" s="123"/>
      <c r="L12" s="123"/>
      <c r="M12" s="123"/>
    </row>
    <row r="13" spans="1:13" x14ac:dyDescent="0.25">
      <c r="A13" s="48"/>
      <c r="B13" s="49"/>
      <c r="C13" s="50"/>
      <c r="F13" s="25"/>
      <c r="H13" s="52"/>
      <c r="I13" s="10"/>
      <c r="J13" s="10"/>
      <c r="K13" s="54"/>
      <c r="L13" s="54"/>
      <c r="M13" s="54"/>
    </row>
    <row r="14" spans="1:13" ht="16.5" customHeight="1" x14ac:dyDescent="0.25">
      <c r="A14" s="16" t="s">
        <v>48</v>
      </c>
      <c r="B14" s="8"/>
      <c r="C14" s="8"/>
      <c r="D14" s="13" t="s">
        <v>49</v>
      </c>
      <c r="E14" s="8"/>
      <c r="F14" s="8"/>
      <c r="G14" s="8"/>
      <c r="H14" s="15"/>
      <c r="I14" s="113" t="s">
        <v>50</v>
      </c>
      <c r="J14" s="45" t="s">
        <v>32</v>
      </c>
      <c r="K14" s="44"/>
      <c r="L14" s="17"/>
      <c r="M14" s="44" t="s">
        <v>52</v>
      </c>
    </row>
    <row r="15" spans="1:13" ht="21" customHeight="1" x14ac:dyDescent="0.25">
      <c r="A15" s="11" t="s">
        <v>46</v>
      </c>
      <c r="B15" s="7"/>
      <c r="C15" s="7"/>
      <c r="D15" s="55">
        <f>(comments!C6)</f>
        <v>110</v>
      </c>
      <c r="E15" s="8"/>
      <c r="F15" s="8"/>
      <c r="G15" s="8"/>
      <c r="H15" s="14"/>
      <c r="I15" s="113"/>
      <c r="J15" s="45" t="s">
        <v>33</v>
      </c>
      <c r="K15" s="44"/>
      <c r="L15" s="17"/>
      <c r="M15" s="44" t="s">
        <v>51</v>
      </c>
    </row>
    <row r="16" spans="1:13" ht="18.75" customHeight="1" x14ac:dyDescent="0.25">
      <c r="A16" s="12" t="s">
        <v>47</v>
      </c>
      <c r="B16" s="8"/>
      <c r="C16" s="8"/>
      <c r="D16" s="56">
        <f>VLOOKUP(C8,comments!B8:C47,2,FALSE)</f>
        <v>0</v>
      </c>
      <c r="E16" s="8"/>
      <c r="F16" s="8"/>
      <c r="G16" s="8"/>
      <c r="H16" s="14"/>
      <c r="I16" s="113"/>
      <c r="J16" s="45" t="s">
        <v>34</v>
      </c>
      <c r="K16" s="44"/>
      <c r="L16" s="17"/>
      <c r="M16" s="44" t="s">
        <v>51</v>
      </c>
    </row>
    <row r="17" spans="1:13" ht="17.25" customHeight="1" x14ac:dyDescent="0.25">
      <c r="A17" s="11" t="s">
        <v>45</v>
      </c>
      <c r="B17" s="7"/>
      <c r="C17" s="7"/>
      <c r="D17" s="56">
        <f>(comments!D6)</f>
        <v>22</v>
      </c>
      <c r="E17" s="8"/>
      <c r="F17" s="8"/>
      <c r="G17" s="8"/>
      <c r="H17" s="14"/>
      <c r="I17" s="113"/>
      <c r="J17" s="47" t="s">
        <v>35</v>
      </c>
      <c r="K17" s="46"/>
      <c r="L17" s="40"/>
      <c r="M17" s="44" t="s">
        <v>52</v>
      </c>
    </row>
    <row r="18" spans="1:13" ht="61.5" customHeight="1" x14ac:dyDescent="0.25">
      <c r="A18" s="111" t="s">
        <v>53</v>
      </c>
      <c r="B18" s="112"/>
      <c r="C18" s="19"/>
      <c r="D18" s="19"/>
      <c r="E18" s="19"/>
      <c r="F18" s="41" t="s">
        <v>172</v>
      </c>
      <c r="G18" s="41" t="s">
        <v>171</v>
      </c>
      <c r="H18" s="41" t="s">
        <v>173</v>
      </c>
      <c r="I18" s="42" t="s">
        <v>174</v>
      </c>
      <c r="J18" s="42" t="s">
        <v>175</v>
      </c>
      <c r="K18" s="41" t="s">
        <v>165</v>
      </c>
      <c r="L18" s="41" t="s">
        <v>166</v>
      </c>
      <c r="M18" s="41" t="s">
        <v>54</v>
      </c>
    </row>
    <row r="19" spans="1:13" ht="15" customHeight="1" x14ac:dyDescent="0.25">
      <c r="A19" s="20" t="s">
        <v>6</v>
      </c>
      <c r="B19" s="8"/>
      <c r="C19" s="8"/>
      <c r="D19" s="8"/>
      <c r="E19" s="8"/>
      <c r="F19" s="31">
        <f>VLOOKUP(C8,'3rd Term'!B9:AN48,2,FALSE)</f>
        <v>21</v>
      </c>
      <c r="G19" s="31">
        <f>VLOOKUP(C8,'3rd Term'!B9:AN48,3,FALSE)</f>
        <v>21</v>
      </c>
      <c r="H19" s="31">
        <f>SUM(F19:G19)</f>
        <v>42</v>
      </c>
      <c r="I19" s="5">
        <f>(VLOOKUP(C8,'2nd Term'!B9:AN48,2,FALSE))+(VLOOKUP(C8,'2nd Term'!B9:AN48,3,FALSE))</f>
        <v>67</v>
      </c>
      <c r="J19" s="31">
        <f>(VLOOKUP($C$8,'1st Term'!$B$9:$AN$48,2,FALSE))+(VLOOKUP($C$8,'1st Term'!$B$9:$AN$48,3,FALSE))</f>
        <v>67</v>
      </c>
      <c r="K19" s="31">
        <f>IF(SUM(H19:J19)=0,"-",SUM(H19:J19))</f>
        <v>176</v>
      </c>
      <c r="L19" s="26">
        <f t="shared" ref="L19:L37" si="0">IFERROR(((H19)+(I19)+(J19))/((--(H19&gt;0))+(--(I19&gt;0))+(--(J19&gt;0))),"-")</f>
        <v>58.666666666666664</v>
      </c>
      <c r="M19" s="31" t="str">
        <f>IF(L19="-","-",IF(L19&gt;=70,"A",IF(L19&gt;=50,"C",IF(L19&gt;=40,"P","F"))))</f>
        <v>C</v>
      </c>
    </row>
    <row r="20" spans="1:13" ht="15" customHeight="1" x14ac:dyDescent="0.25">
      <c r="A20" s="20" t="s">
        <v>3</v>
      </c>
      <c r="B20" s="8"/>
      <c r="C20" s="8"/>
      <c r="D20" s="8"/>
      <c r="E20" s="8"/>
      <c r="F20" s="1">
        <f>VLOOKUP(C8,'3rd Term'!B9:AN48,4,FALSE)</f>
        <v>20</v>
      </c>
      <c r="G20" s="31">
        <f>VLOOKUP(C8,'3rd Term'!B9:AN48,5,FALSE)</f>
        <v>35</v>
      </c>
      <c r="H20" s="31">
        <f t="shared" ref="H20:H37" si="1">SUM(F20:G20)</f>
        <v>55</v>
      </c>
      <c r="I20" s="31">
        <f>(VLOOKUP(C8,'2nd Term'!B9:AN48,4,FALSE))+(VLOOKUP(C8,'2nd Term'!B9:AN48,5,FALSE))</f>
        <v>77</v>
      </c>
      <c r="J20" s="31">
        <f>(VLOOKUP($C$8,'1st Term'!$B$9:$AN$48,4,FALSE))+(VLOOKUP($C$8,'1st Term'!$B$9:$AN$48,5,FALSE))</f>
        <v>64</v>
      </c>
      <c r="K20" s="31">
        <f t="shared" ref="K20:K37" si="2">IF(SUM(H20:J20)=0,"-",SUM(H20:J20))</f>
        <v>196</v>
      </c>
      <c r="L20" s="26">
        <f t="shared" si="0"/>
        <v>65.333333333333329</v>
      </c>
      <c r="M20" s="31" t="str">
        <f t="shared" ref="M20:M37" si="3">IF(L20="-","-",IF(L20&gt;=70,"A",IF(L20&gt;=50,"C",IF(L20&gt;=40,"P","F"))))</f>
        <v>C</v>
      </c>
    </row>
    <row r="21" spans="1:13" ht="15" customHeight="1" x14ac:dyDescent="0.25">
      <c r="A21" s="20" t="s">
        <v>4</v>
      </c>
      <c r="B21" s="8"/>
      <c r="C21" s="8"/>
      <c r="D21" s="8"/>
      <c r="E21" s="8"/>
      <c r="F21" s="1">
        <f>VLOOKUP(C8,'3rd Term'!B9:AN48,6,FALSE)</f>
        <v>13</v>
      </c>
      <c r="G21" s="31">
        <f>VLOOKUP(C8,'3rd Term'!B9:AN48,7,FALSE)</f>
        <v>34</v>
      </c>
      <c r="H21" s="31">
        <f t="shared" si="1"/>
        <v>47</v>
      </c>
      <c r="I21" s="31">
        <f>(VLOOKUP(C8,'2nd Term'!B9:AN48,6,FALSE))+(VLOOKUP(C8,'2nd Term'!B9:AN48,7,FALSE))</f>
        <v>54</v>
      </c>
      <c r="J21" s="31">
        <f>(VLOOKUP($C$8,'1st Term'!$B$9:$AN$48,6,FALSE))+(VLOOKUP($C$8,'1st Term'!$B$9:$AN$48,7,FALSE))</f>
        <v>42</v>
      </c>
      <c r="K21" s="31">
        <f t="shared" si="2"/>
        <v>143</v>
      </c>
      <c r="L21" s="26">
        <f t="shared" si="0"/>
        <v>47.666666666666664</v>
      </c>
      <c r="M21" s="31" t="str">
        <f t="shared" si="3"/>
        <v>P</v>
      </c>
    </row>
    <row r="22" spans="1:13" ht="15" customHeight="1" x14ac:dyDescent="0.25">
      <c r="A22" s="20" t="s">
        <v>5</v>
      </c>
      <c r="B22" s="8"/>
      <c r="C22" s="8"/>
      <c r="D22" s="8"/>
      <c r="E22" s="8"/>
      <c r="F22" s="1">
        <f>VLOOKUP(C8,'3rd Term'!B9:AN48,8,FALSE)</f>
        <v>25</v>
      </c>
      <c r="G22" s="31">
        <f>VLOOKUP(C8,'3rd Term'!B9:AN48,9,FALSE)</f>
        <v>27</v>
      </c>
      <c r="H22" s="31">
        <f t="shared" si="1"/>
        <v>52</v>
      </c>
      <c r="I22" s="31">
        <f>(VLOOKUP(C8,'2nd Term'!B9:AN48,8,FALSE))+(VLOOKUP(C8,'2nd Term'!B9:AN48,9,FALSE))</f>
        <v>42</v>
      </c>
      <c r="J22" s="31">
        <f>(VLOOKUP($C$8,'1st Term'!$B$9:$AN$48,8,FALSE))+(VLOOKUP($C$8,'1st Term'!$B$9:$AN$48,9,FALSE))</f>
        <v>47</v>
      </c>
      <c r="K22" s="31">
        <f t="shared" si="2"/>
        <v>141</v>
      </c>
      <c r="L22" s="26">
        <f t="shared" si="0"/>
        <v>47</v>
      </c>
      <c r="M22" s="31" t="str">
        <f t="shared" si="3"/>
        <v>P</v>
      </c>
    </row>
    <row r="23" spans="1:13" ht="15" customHeight="1" x14ac:dyDescent="0.25">
      <c r="A23" s="20" t="s">
        <v>7</v>
      </c>
      <c r="B23" s="8"/>
      <c r="C23" s="8"/>
      <c r="D23" s="8"/>
      <c r="E23" s="8"/>
      <c r="F23" s="1">
        <f>VLOOKUP(C8,'3rd Term'!B9:AN48,10,FALSE)</f>
        <v>14</v>
      </c>
      <c r="G23" s="31">
        <f>VLOOKUP(C8,'3rd Term'!B9:AN48,11,FALSE)</f>
        <v>30</v>
      </c>
      <c r="H23" s="31">
        <f t="shared" si="1"/>
        <v>44</v>
      </c>
      <c r="I23" s="31">
        <f>(VLOOKUP(C8,'2nd Term'!B9:AN48,10,FALSE))+(VLOOKUP(C8,'2nd Term'!B9:AN48,11,FALSE))</f>
        <v>50</v>
      </c>
      <c r="J23" s="31">
        <f>(VLOOKUP($C$8,'1st Term'!$B$9:$AN$48,10,FALSE))+(VLOOKUP($C$8,'1st Term'!$B$9:$AN$48,11,FALSE))</f>
        <v>41</v>
      </c>
      <c r="K23" s="31">
        <f t="shared" si="2"/>
        <v>135</v>
      </c>
      <c r="L23" s="26">
        <f t="shared" si="0"/>
        <v>45</v>
      </c>
      <c r="M23" s="31" t="str">
        <f t="shared" si="3"/>
        <v>P</v>
      </c>
    </row>
    <row r="24" spans="1:13" ht="15" customHeight="1" x14ac:dyDescent="0.25">
      <c r="A24" s="20" t="s">
        <v>8</v>
      </c>
      <c r="B24" s="8"/>
      <c r="C24" s="8"/>
      <c r="D24" s="8"/>
      <c r="E24" s="8"/>
      <c r="F24" s="1">
        <f>VLOOKUP(C8,'3rd Term'!B9:AN48,12,FALSE)</f>
        <v>22</v>
      </c>
      <c r="G24" s="31">
        <f>VLOOKUP(C8,'3rd Term'!B9:AN48,13,FALSE)</f>
        <v>24</v>
      </c>
      <c r="H24" s="31">
        <f t="shared" si="1"/>
        <v>46</v>
      </c>
      <c r="I24" s="31">
        <f>(VLOOKUP(C8,'2nd Term'!B9:AN48,12,FALSE))+(VLOOKUP(C8,'2nd Term'!B9:AN48,13,FALSE))</f>
        <v>51</v>
      </c>
      <c r="J24" s="31">
        <f>(VLOOKUP($C$8,'1st Term'!$B$9:$AN$48,12,FALSE))+(VLOOKUP($C$8,'1st Term'!$B$9:$AN$48,13,FALSE))</f>
        <v>34</v>
      </c>
      <c r="K24" s="31">
        <f t="shared" si="2"/>
        <v>131</v>
      </c>
      <c r="L24" s="26">
        <f t="shared" si="0"/>
        <v>43.666666666666664</v>
      </c>
      <c r="M24" s="31" t="str">
        <f t="shared" si="3"/>
        <v>P</v>
      </c>
    </row>
    <row r="25" spans="1:13" ht="15" customHeight="1" x14ac:dyDescent="0.25">
      <c r="A25" s="20" t="s">
        <v>9</v>
      </c>
      <c r="B25" s="8"/>
      <c r="C25" s="8"/>
      <c r="D25" s="8"/>
      <c r="E25" s="8"/>
      <c r="F25" s="1">
        <f>VLOOKUP(C8,'3rd Term'!B9:AN48,14,FALSE)</f>
        <v>23</v>
      </c>
      <c r="G25" s="31">
        <f>VLOOKUP(C8,'3rd Term'!B9:AN48,15,FALSE)</f>
        <v>21</v>
      </c>
      <c r="H25" s="31">
        <f t="shared" si="1"/>
        <v>44</v>
      </c>
      <c r="I25" s="31">
        <f>(VLOOKUP(C8,'2nd Term'!B9:AN48,14,FALSE))+(VLOOKUP(C8,'2nd Term'!B9:AN48,15,FALSE))</f>
        <v>63</v>
      </c>
      <c r="J25" s="31">
        <f>(VLOOKUP($C$8,'1st Term'!$B$9:$AN$48,14,FALSE))+(VLOOKUP($C$8,'1st Term'!$B$9:$AN$48,15,FALSE))</f>
        <v>50</v>
      </c>
      <c r="K25" s="31">
        <f t="shared" si="2"/>
        <v>157</v>
      </c>
      <c r="L25" s="26">
        <f t="shared" si="0"/>
        <v>52.333333333333336</v>
      </c>
      <c r="M25" s="31" t="str">
        <f t="shared" si="3"/>
        <v>C</v>
      </c>
    </row>
    <row r="26" spans="1:13" ht="15" customHeight="1" x14ac:dyDescent="0.25">
      <c r="A26" s="20" t="s">
        <v>10</v>
      </c>
      <c r="B26" s="8"/>
      <c r="C26" s="8"/>
      <c r="D26" s="8"/>
      <c r="E26" s="8"/>
      <c r="F26" s="1">
        <f>VLOOKUP(C8,'3rd Term'!B9:AN48,16,FALSE)</f>
        <v>20</v>
      </c>
      <c r="G26" s="31">
        <f>VLOOKUP(C8,'3rd Term'!B9:AN48,17,FALSE)</f>
        <v>37</v>
      </c>
      <c r="H26" s="31">
        <f t="shared" si="1"/>
        <v>57</v>
      </c>
      <c r="I26" s="31">
        <f>(VLOOKUP(C8,'2nd Term'!B9:AN48,16,FALSE))+(VLOOKUP(C8,'2nd Term'!B9:AN48,17,FALSE))</f>
        <v>62</v>
      </c>
      <c r="J26" s="31">
        <f>(VLOOKUP($C$8,'1st Term'!$B$9:$AN$48,16,FALSE))+(VLOOKUP($C$8,'1st Term'!$B$9:$AN$48,17,FALSE))</f>
        <v>49</v>
      </c>
      <c r="K26" s="31">
        <f t="shared" si="2"/>
        <v>168</v>
      </c>
      <c r="L26" s="26">
        <f t="shared" si="0"/>
        <v>56</v>
      </c>
      <c r="M26" s="31" t="str">
        <f t="shared" si="3"/>
        <v>C</v>
      </c>
    </row>
    <row r="27" spans="1:13" ht="15" hidden="1" customHeight="1" x14ac:dyDescent="0.25">
      <c r="A27" s="20" t="s">
        <v>11</v>
      </c>
      <c r="B27" s="8"/>
      <c r="C27" s="8"/>
      <c r="D27" s="8"/>
      <c r="E27" s="8"/>
      <c r="F27" s="1">
        <f>VLOOKUP(C8,'3rd Term'!B9:AN48,18,FALSE)</f>
        <v>0</v>
      </c>
      <c r="G27" s="31">
        <f>VLOOKUP(C8,'3rd Term'!B9:AN48,19,FALSE)</f>
        <v>0</v>
      </c>
      <c r="H27" s="31">
        <f t="shared" si="1"/>
        <v>0</v>
      </c>
      <c r="I27" s="31">
        <f>(VLOOKUP(C8,'2nd Term'!B9:AN48,18,FALSE))+(VLOOKUP(C8,'2nd Term'!B9:AN48,19,FALSE))</f>
        <v>0</v>
      </c>
      <c r="J27" s="31">
        <f>(VLOOKUP($C$8,'1st Term'!$B$9:$AN$48,18,FALSE))+(VLOOKUP($C$8,'1st Term'!$B$9:$AN$48,19,FALSE))</f>
        <v>0</v>
      </c>
      <c r="K27" s="31" t="str">
        <f t="shared" si="2"/>
        <v>-</v>
      </c>
      <c r="L27" s="26" t="str">
        <f t="shared" si="0"/>
        <v>-</v>
      </c>
      <c r="M27" s="31" t="str">
        <f t="shared" si="3"/>
        <v>-</v>
      </c>
    </row>
    <row r="28" spans="1:13" ht="15" customHeight="1" x14ac:dyDescent="0.25">
      <c r="A28" s="20" t="s">
        <v>13</v>
      </c>
      <c r="B28" s="8"/>
      <c r="C28" s="8"/>
      <c r="D28" s="8"/>
      <c r="E28" s="8"/>
      <c r="F28" s="1">
        <f>VLOOKUP(C8,'3rd Term'!B9:AN48,20,FALSE)</f>
        <v>15</v>
      </c>
      <c r="G28" s="31">
        <f>VLOOKUP(C8,'3rd Term'!B9:AN48,21,FALSE)</f>
        <v>27</v>
      </c>
      <c r="H28" s="31">
        <f t="shared" si="1"/>
        <v>42</v>
      </c>
      <c r="I28" s="31">
        <f>(VLOOKUP(C8,'2nd Term'!B9:AN48,20,FALSE))+(VLOOKUP(C8,'2nd Term'!B9:AN48,21,FALSE))</f>
        <v>67</v>
      </c>
      <c r="J28" s="31">
        <f>(VLOOKUP($C$8,'1st Term'!$B$9:$AN$48,20,FALSE))+(VLOOKUP($C$8,'1st Term'!$B$9:$AN$48,21,FALSE))</f>
        <v>59</v>
      </c>
      <c r="K28" s="31">
        <f t="shared" si="2"/>
        <v>168</v>
      </c>
      <c r="L28" s="26">
        <f t="shared" si="0"/>
        <v>56</v>
      </c>
      <c r="M28" s="31" t="str">
        <f t="shared" si="3"/>
        <v>C</v>
      </c>
    </row>
    <row r="29" spans="1:13" x14ac:dyDescent="0.25">
      <c r="A29" s="20" t="s">
        <v>14</v>
      </c>
      <c r="B29" s="8"/>
      <c r="C29" s="8"/>
      <c r="D29" s="8"/>
      <c r="E29" s="8"/>
      <c r="F29" s="1">
        <f>VLOOKUP(C8,'3rd Term'!B9:AN48,22,FALSE)</f>
        <v>15</v>
      </c>
      <c r="G29" s="31">
        <f>VLOOKUP(C8,'3rd Term'!B9:AN48,23,FALSE)</f>
        <v>17</v>
      </c>
      <c r="H29" s="31">
        <f t="shared" si="1"/>
        <v>32</v>
      </c>
      <c r="I29" s="31">
        <f>(VLOOKUP(C8,'2nd Term'!B9:AN48,22,FALSE))+(VLOOKUP(C8,'2nd Term'!B9:AN48,23,FALSE))</f>
        <v>74</v>
      </c>
      <c r="J29" s="31">
        <f>(VLOOKUP($C$8,'1st Term'!$B$9:$AN$48,22,FALSE))+(VLOOKUP($C$8,'1st Term'!$B$9:$AN$48,23,FALSE))</f>
        <v>64</v>
      </c>
      <c r="K29" s="31">
        <f t="shared" si="2"/>
        <v>170</v>
      </c>
      <c r="L29" s="26">
        <f t="shared" si="0"/>
        <v>56.666666666666664</v>
      </c>
      <c r="M29" s="31" t="str">
        <f t="shared" si="3"/>
        <v>C</v>
      </c>
    </row>
    <row r="30" spans="1:13" x14ac:dyDescent="0.25">
      <c r="A30" s="20" t="s">
        <v>15</v>
      </c>
      <c r="B30" s="8"/>
      <c r="C30" s="8"/>
      <c r="D30" s="8"/>
      <c r="E30" s="8"/>
      <c r="F30" s="1">
        <f>VLOOKUP(C8,'3rd Term'!B9:AN48,24,FALSE)</f>
        <v>9</v>
      </c>
      <c r="G30" s="31">
        <f>VLOOKUP(C8,'3rd Term'!B9:AN48,25,FALSE)</f>
        <v>27</v>
      </c>
      <c r="H30" s="31">
        <f t="shared" si="1"/>
        <v>36</v>
      </c>
      <c r="I30" s="31">
        <f>(VLOOKUP(C8,'2nd Term'!B9:AN48,24,FALSE))+(VLOOKUP(C8,'2nd Term'!B9:AN48,25,FALSE))</f>
        <v>60</v>
      </c>
      <c r="J30" s="31">
        <f>(VLOOKUP($C$8,'1st Term'!$B$9:$AN$48,24,FALSE))+(VLOOKUP($C$8,'1st Term'!$B$9:$AN$48,25,FALSE))</f>
        <v>55</v>
      </c>
      <c r="K30" s="31">
        <f t="shared" si="2"/>
        <v>151</v>
      </c>
      <c r="L30" s="26">
        <f t="shared" si="0"/>
        <v>50.333333333333336</v>
      </c>
      <c r="M30" s="31" t="str">
        <f t="shared" si="3"/>
        <v>C</v>
      </c>
    </row>
    <row r="31" spans="1:13" hidden="1" x14ac:dyDescent="0.25">
      <c r="A31" s="20" t="s">
        <v>22</v>
      </c>
      <c r="B31" s="8"/>
      <c r="C31" s="8"/>
      <c r="D31" s="8"/>
      <c r="E31" s="8"/>
      <c r="F31" s="1">
        <f>VLOOKUP(C8,'3rd Term'!B9:AN48,26,FALSE)</f>
        <v>0</v>
      </c>
      <c r="G31" s="31">
        <f>VLOOKUP(C8,'3rd Term'!B9:AN48,27,FALSE)</f>
        <v>0</v>
      </c>
      <c r="H31" s="31">
        <f t="shared" si="1"/>
        <v>0</v>
      </c>
      <c r="I31" s="31">
        <f>(VLOOKUP(C8,'2nd Term'!B9:AN48,26,FALSE))+(VLOOKUP(C8,'2nd Term'!B9:AN48,27,FALSE))</f>
        <v>0</v>
      </c>
      <c r="J31" s="31">
        <f>(VLOOKUP($C$8,'1st Term'!$B$9:$AN$48,26,FALSE))+(VLOOKUP($C$8,'1st Term'!$B$9:$AN$48,27,FALSE))</f>
        <v>0</v>
      </c>
      <c r="K31" s="31" t="str">
        <f t="shared" si="2"/>
        <v>-</v>
      </c>
      <c r="L31" s="26" t="str">
        <f t="shared" si="0"/>
        <v>-</v>
      </c>
      <c r="M31" s="31" t="str">
        <f t="shared" si="3"/>
        <v>-</v>
      </c>
    </row>
    <row r="32" spans="1:13" x14ac:dyDescent="0.25">
      <c r="A32" s="20" t="s">
        <v>16</v>
      </c>
      <c r="B32" s="8"/>
      <c r="C32" s="8"/>
      <c r="D32" s="8"/>
      <c r="E32" s="8"/>
      <c r="F32" s="1">
        <f>VLOOKUP(C8,'3rd Term'!B9:AN48,28,FALSE)</f>
        <v>19</v>
      </c>
      <c r="G32" s="31">
        <f>VLOOKUP(C8,'3rd Term'!B9:AN48,29,FALSE)</f>
        <v>12</v>
      </c>
      <c r="H32" s="31">
        <f t="shared" si="1"/>
        <v>31</v>
      </c>
      <c r="I32" s="31">
        <f>(VLOOKUP(C8,'2nd Term'!B9:AN48,28,FALSE))+(VLOOKUP(C8,'2nd Term'!B9:AN48,29,FALSE))</f>
        <v>64</v>
      </c>
      <c r="J32" s="31">
        <f>(VLOOKUP($C$8,'1st Term'!$B$9:$AN$48,28,FALSE))+(VLOOKUP($C$8,'1st Term'!$B$9:$AN$48,29,FALSE))</f>
        <v>53</v>
      </c>
      <c r="K32" s="31">
        <f t="shared" si="2"/>
        <v>148</v>
      </c>
      <c r="L32" s="26">
        <f t="shared" si="0"/>
        <v>49.333333333333336</v>
      </c>
      <c r="M32" s="31" t="str">
        <f t="shared" si="3"/>
        <v>P</v>
      </c>
    </row>
    <row r="33" spans="1:13" x14ac:dyDescent="0.25">
      <c r="A33" s="20" t="s">
        <v>17</v>
      </c>
      <c r="B33" s="8"/>
      <c r="C33" s="8"/>
      <c r="D33" s="8"/>
      <c r="E33" s="8"/>
      <c r="F33" s="1">
        <f>VLOOKUP(C8,'3rd Term'!B9:AN48,30,FALSE)</f>
        <v>29</v>
      </c>
      <c r="G33" s="31">
        <f>VLOOKUP(C8,'3rd Term'!B9:AN48,31,FALSE)</f>
        <v>16</v>
      </c>
      <c r="H33" s="31">
        <f t="shared" si="1"/>
        <v>45</v>
      </c>
      <c r="I33" s="31">
        <f>(VLOOKUP(C8,'2nd Term'!B9:AN48,30,FALSE))+(VLOOKUP(C8,'2nd Term'!B9:AN48,31,FALSE))</f>
        <v>65</v>
      </c>
      <c r="J33" s="31">
        <f>(VLOOKUP($C$8,'1st Term'!$B$9:$AN$48,30,FALSE))+(VLOOKUP($C$8,'1st Term'!$B$9:$AN$48,31,FALSE))</f>
        <v>40</v>
      </c>
      <c r="K33" s="31">
        <f t="shared" si="2"/>
        <v>150</v>
      </c>
      <c r="L33" s="26">
        <f t="shared" si="0"/>
        <v>50</v>
      </c>
      <c r="M33" s="31" t="str">
        <f t="shared" si="3"/>
        <v>C</v>
      </c>
    </row>
    <row r="34" spans="1:13" x14ac:dyDescent="0.25">
      <c r="A34" s="20" t="s">
        <v>18</v>
      </c>
      <c r="B34" s="8"/>
      <c r="C34" s="8"/>
      <c r="D34" s="8"/>
      <c r="E34" s="8"/>
      <c r="F34" s="1">
        <f>VLOOKUP(C8,'3rd Term'!B9:AN48,32,FALSE)</f>
        <v>21</v>
      </c>
      <c r="G34" s="31">
        <f>VLOOKUP(C8,'3rd Term'!B9:AN48,33,FALSE)</f>
        <v>18</v>
      </c>
      <c r="H34" s="31">
        <f t="shared" si="1"/>
        <v>39</v>
      </c>
      <c r="I34" s="31">
        <f>(VLOOKUP(C8,'2nd Term'!B9:AN48,32,FALSE))+(VLOOKUP(C8,'2nd Term'!B9:AN48,33,FALSE))</f>
        <v>61</v>
      </c>
      <c r="J34" s="31">
        <f>(VLOOKUP($C$8,'1st Term'!$B$9:$AN$48,32,FALSE))+(VLOOKUP($C$8,'1st Term'!$B$9:$AN$48,33,FALSE))</f>
        <v>57</v>
      </c>
      <c r="K34" s="31">
        <f t="shared" si="2"/>
        <v>157</v>
      </c>
      <c r="L34" s="26">
        <f t="shared" si="0"/>
        <v>52.333333333333336</v>
      </c>
      <c r="M34" s="31" t="str">
        <f t="shared" si="3"/>
        <v>C</v>
      </c>
    </row>
    <row r="35" spans="1:13" x14ac:dyDescent="0.25">
      <c r="A35" s="20" t="s">
        <v>19</v>
      </c>
      <c r="B35" s="8"/>
      <c r="C35" s="8"/>
      <c r="D35" s="8"/>
      <c r="E35" s="8"/>
      <c r="F35" s="1">
        <f>VLOOKUP(C8,'3rd Term'!B9:AN48,34,FALSE)</f>
        <v>16</v>
      </c>
      <c r="G35" s="31">
        <f>VLOOKUP(C8,'3rd Term'!B9:AN48,35,FALSE)</f>
        <v>17</v>
      </c>
      <c r="H35" s="31">
        <f t="shared" si="1"/>
        <v>33</v>
      </c>
      <c r="I35" s="31">
        <f>(VLOOKUP(C8,'2nd Term'!B9:AN48,34,FALSE))+(VLOOKUP(C8,'2nd Term'!B9:AN48,35,FALSE))</f>
        <v>54</v>
      </c>
      <c r="J35" s="31">
        <f>(VLOOKUP($C$8,'1st Term'!$B$9:$AN$48,34,FALSE))+(VLOOKUP($C$8,'1st Term'!$B$9:$AN$48,35,FALSE))</f>
        <v>21</v>
      </c>
      <c r="K35" s="31">
        <f t="shared" si="2"/>
        <v>108</v>
      </c>
      <c r="L35" s="26">
        <f t="shared" si="0"/>
        <v>36</v>
      </c>
      <c r="M35" s="31" t="str">
        <f t="shared" si="3"/>
        <v>F</v>
      </c>
    </row>
    <row r="36" spans="1:13" x14ac:dyDescent="0.25">
      <c r="A36" s="20" t="s">
        <v>20</v>
      </c>
      <c r="B36" s="8"/>
      <c r="C36" s="8"/>
      <c r="D36" s="8"/>
      <c r="E36" s="8"/>
      <c r="F36" s="1">
        <f>VLOOKUP(C8,'3rd Term'!B9:AN48,36,FALSE)</f>
        <v>19</v>
      </c>
      <c r="G36" s="31">
        <f>VLOOKUP(C8,'3rd Term'!B9:AN48,37,FALSE)</f>
        <v>31</v>
      </c>
      <c r="H36" s="31">
        <f t="shared" si="1"/>
        <v>50</v>
      </c>
      <c r="I36" s="31">
        <f>(VLOOKUP(C8,'2nd Term'!B9:AN48,36,FALSE))+(VLOOKUP(C8,'2nd Term'!B9:AN48,37,FALSE))</f>
        <v>55</v>
      </c>
      <c r="J36" s="31">
        <f>(VLOOKUP($C$8,'1st Term'!$B$9:$AN$48,36,FALSE))+(VLOOKUP($C$8,'1st Term'!$B$9:$AN$48,37,FALSE))</f>
        <v>36</v>
      </c>
      <c r="K36" s="31">
        <f t="shared" si="2"/>
        <v>141</v>
      </c>
      <c r="L36" s="26">
        <f t="shared" si="0"/>
        <v>47</v>
      </c>
      <c r="M36" s="31" t="str">
        <f t="shared" si="3"/>
        <v>P</v>
      </c>
    </row>
    <row r="37" spans="1:13" x14ac:dyDescent="0.25">
      <c r="A37" s="18" t="s">
        <v>21</v>
      </c>
      <c r="B37" s="7"/>
      <c r="C37" s="7"/>
      <c r="D37" s="7"/>
      <c r="E37" s="7"/>
      <c r="F37" s="57">
        <f>VLOOKUP(C8,'3rd Term'!B9:AN48,38,FALSE)</f>
        <v>13</v>
      </c>
      <c r="G37" s="31">
        <f>VLOOKUP(C8,'3rd Term'!B9:AN48,39,FALSE)</f>
        <v>6</v>
      </c>
      <c r="H37" s="31">
        <f t="shared" si="1"/>
        <v>19</v>
      </c>
      <c r="I37" s="31">
        <f>(VLOOKUP(C8,'2nd Term'!B9:AN48,38,FALSE))+(VLOOKUP(C8,'2nd Term'!B9:AN48,39,FALSE))</f>
        <v>76</v>
      </c>
      <c r="J37" s="31">
        <f>(VLOOKUP($C$8,'1st Term'!$B$9:$AN$48,38,FALSE))+(VLOOKUP($C$8,'1st Term'!$B$9:$AN$48,39,FALSE))</f>
        <v>67</v>
      </c>
      <c r="K37" s="31">
        <f t="shared" si="2"/>
        <v>162</v>
      </c>
      <c r="L37" s="26">
        <f t="shared" si="0"/>
        <v>54</v>
      </c>
      <c r="M37" s="31" t="str">
        <f t="shared" si="3"/>
        <v>C</v>
      </c>
    </row>
    <row r="43" spans="1:13" x14ac:dyDescent="0.25">
      <c r="G43" s="110" t="s">
        <v>62</v>
      </c>
      <c r="H43" s="110"/>
      <c r="I43" s="110"/>
      <c r="J43" s="110"/>
      <c r="K43" s="110"/>
      <c r="L43" s="110"/>
      <c r="M43" s="110"/>
    </row>
    <row r="44" spans="1:13" x14ac:dyDescent="0.25">
      <c r="A44" s="77" t="s">
        <v>58</v>
      </c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</row>
    <row r="45" spans="1:13" ht="12.75" customHeight="1" x14ac:dyDescent="0.25">
      <c r="A45" s="50" t="str">
        <f>VLOOKUP(C8,comments!B8:X47,7,0)</f>
        <v>He can perform better with greater commitment and focus.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</row>
    <row r="46" spans="1:13" x14ac:dyDescent="0.25">
      <c r="A46" s="50"/>
      <c r="B46" s="50"/>
      <c r="C46" s="50"/>
      <c r="D46" s="50"/>
      <c r="E46" s="50"/>
      <c r="F46" s="78"/>
      <c r="G46" s="78"/>
      <c r="H46" s="78"/>
      <c r="I46" s="78"/>
      <c r="J46" s="78"/>
      <c r="K46" s="78"/>
      <c r="L46" s="78"/>
      <c r="M46" s="78"/>
    </row>
    <row r="47" spans="1:13" x14ac:dyDescent="0.25">
      <c r="A47" s="79" t="s">
        <v>60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</row>
    <row r="48" spans="1:13" ht="12" customHeight="1" x14ac:dyDescent="0.25">
      <c r="A48" s="50" t="str">
        <f>VLOOKUP(C8,comments!B8:X47,14,0)</f>
        <v>Excellent performance. Promoted to the Next Class.</v>
      </c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</row>
    <row r="49" spans="1:13" x14ac:dyDescent="0.25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</row>
    <row r="50" spans="1:13" x14ac:dyDescent="0.25">
      <c r="A50" s="79" t="s">
        <v>59</v>
      </c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</row>
    <row r="51" spans="1:13" ht="12" customHeight="1" x14ac:dyDescent="0.25">
      <c r="A51" s="78" t="s">
        <v>61</v>
      </c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</row>
  </sheetData>
  <sheetProtection algorithmName="SHA-512" hashValue="LWMmPsuQ06O5GWAgg9Ldw6X7j/wOoTOzWnthy555AT2kGTP3yYkaq0JFB/hFN/MgMw9emM1W13oOCGf70PnGFA==" saltValue="n3fdZqkzYgoWbeOktmrZxA==" spinCount="100000" sheet="1" scenarios="1"/>
  <mergeCells count="13">
    <mergeCell ref="I14:I17"/>
    <mergeCell ref="A18:B18"/>
    <mergeCell ref="G43:M43"/>
    <mergeCell ref="B1:M2"/>
    <mergeCell ref="B3:M3"/>
    <mergeCell ref="B4:M4"/>
    <mergeCell ref="B5:M6"/>
    <mergeCell ref="K7:M12"/>
    <mergeCell ref="A8:B8"/>
    <mergeCell ref="A9:B9"/>
    <mergeCell ref="A10:B10"/>
    <mergeCell ref="A11:B11"/>
    <mergeCell ref="A12:B12"/>
  </mergeCells>
  <conditionalFormatting sqref="M19:M37">
    <cfRule type="cellIs" dxfId="104" priority="3" operator="equal">
      <formula>"F"</formula>
    </cfRule>
    <cfRule type="cellIs" dxfId="103" priority="4" operator="equal">
      <formula>"P"</formula>
    </cfRule>
    <cfRule type="cellIs" dxfId="102" priority="5" operator="equal">
      <formula>"C"</formula>
    </cfRule>
    <cfRule type="cellIs" dxfId="101" priority="6" operator="equal">
      <formula>"A"</formula>
    </cfRule>
  </conditionalFormatting>
  <conditionalFormatting sqref="F19:J37">
    <cfRule type="cellIs" dxfId="100" priority="1" operator="equal">
      <formula>0</formula>
    </cfRule>
    <cfRule type="colorScale" priority="2">
      <colorScale>
        <cfvo type="min"/>
        <cfvo type="num" val="0"/>
        <color rgb="FFFF7128"/>
        <color theme="0"/>
      </colorScale>
    </cfRule>
  </conditionalFormatting>
  <dataValidations count="1">
    <dataValidation type="list" allowBlank="1" showInputMessage="1" showErrorMessage="1" sqref="M14:M17" xr:uid="{CE0C640B-876B-45DB-93A1-5775587ECAC5}">
      <formula1>"A,B,C,D,E"</formula1>
    </dataValidation>
  </dataValidations>
  <printOptions horizontalCentered="1"/>
  <pageMargins left="0.2" right="0.2" top="0.25" bottom="0.25" header="0.3" footer="0.3"/>
  <pageSetup paperSize="9" fitToWidth="0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EDB3D-2DAC-4F88-A888-03A1F0BA7994}">
  <sheetPr>
    <tabColor rgb="FF7030A0"/>
  </sheetPr>
  <dimension ref="A1:M51"/>
  <sheetViews>
    <sheetView workbookViewId="0">
      <selection activeCell="O43" sqref="O43"/>
    </sheetView>
  </sheetViews>
  <sheetFormatPr defaultRowHeight="15" x14ac:dyDescent="0.25"/>
  <cols>
    <col min="3" max="3" width="8.140625" customWidth="1"/>
    <col min="4" max="4" width="9.42578125" customWidth="1"/>
    <col min="5" max="5" width="10.5703125" customWidth="1"/>
    <col min="6" max="6" width="6.28515625" customWidth="1"/>
    <col min="7" max="8" width="5.85546875" customWidth="1"/>
    <col min="9" max="9" width="5.5703125" customWidth="1"/>
    <col min="10" max="11" width="5.28515625" customWidth="1"/>
    <col min="12" max="12" width="6.28515625" customWidth="1"/>
    <col min="13" max="13" width="5.7109375" customWidth="1"/>
  </cols>
  <sheetData>
    <row r="1" spans="1:13" ht="15" customHeight="1" x14ac:dyDescent="0.25">
      <c r="A1" s="10"/>
      <c r="B1" s="116" t="s">
        <v>185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</row>
    <row r="2" spans="1:13" ht="15" customHeight="1" x14ac:dyDescent="0.25">
      <c r="A2" s="10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</row>
    <row r="3" spans="1:13" ht="15.75" x14ac:dyDescent="0.25">
      <c r="A3" s="10"/>
      <c r="B3" s="117" t="s">
        <v>184</v>
      </c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</row>
    <row r="4" spans="1:13" ht="15.75" x14ac:dyDescent="0.25">
      <c r="A4" s="10"/>
      <c r="B4" s="118" t="s">
        <v>186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</row>
    <row r="5" spans="1:13" ht="15" customHeight="1" x14ac:dyDescent="0.25">
      <c r="A5" s="10"/>
      <c r="B5" s="119" t="s">
        <v>36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</row>
    <row r="6" spans="1:13" ht="15" customHeight="1" x14ac:dyDescent="0.25">
      <c r="A6" s="10"/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</row>
    <row r="7" spans="1:13" ht="15" customHeight="1" x14ac:dyDescent="0.25">
      <c r="I7" s="10"/>
      <c r="J7" s="10"/>
      <c r="K7" s="122" t="s">
        <v>105</v>
      </c>
      <c r="L7" s="122"/>
      <c r="M7" s="122"/>
    </row>
    <row r="8" spans="1:13" x14ac:dyDescent="0.25">
      <c r="A8" s="120" t="s">
        <v>37</v>
      </c>
      <c r="B8" s="120"/>
      <c r="C8" s="29" t="str">
        <f>('1st Term'!B11)</f>
        <v>ASAMS DANIELLA</v>
      </c>
      <c r="D8" s="8"/>
      <c r="E8" s="8"/>
      <c r="F8" s="8"/>
      <c r="G8" s="8"/>
      <c r="H8" s="9"/>
      <c r="I8" s="10"/>
      <c r="J8" s="10"/>
      <c r="K8" s="122"/>
      <c r="L8" s="122"/>
      <c r="M8" s="122"/>
    </row>
    <row r="9" spans="1:13" x14ac:dyDescent="0.25">
      <c r="A9" s="121" t="s">
        <v>38</v>
      </c>
      <c r="B9" s="115"/>
      <c r="C9" s="29" t="str">
        <f>('1st Term'!B7)</f>
        <v>JSS 1A</v>
      </c>
      <c r="D9" s="8"/>
      <c r="E9" s="8"/>
      <c r="F9" s="8"/>
      <c r="G9" s="8"/>
      <c r="H9" s="9"/>
      <c r="I9" s="10"/>
      <c r="J9" s="10"/>
      <c r="K9" s="122"/>
      <c r="L9" s="122"/>
      <c r="M9" s="122"/>
    </row>
    <row r="10" spans="1:13" x14ac:dyDescent="0.25">
      <c r="A10" s="121" t="s">
        <v>39</v>
      </c>
      <c r="B10" s="115"/>
      <c r="C10" s="29" t="str">
        <f>(comments!C4)</f>
        <v>2025/2026</v>
      </c>
      <c r="D10" s="8"/>
      <c r="E10" s="8"/>
      <c r="F10" s="43"/>
      <c r="G10" s="43"/>
      <c r="H10" s="9"/>
      <c r="I10" s="10"/>
      <c r="J10" s="10"/>
      <c r="K10" s="122"/>
      <c r="L10" s="122"/>
      <c r="M10" s="122"/>
    </row>
    <row r="11" spans="1:13" x14ac:dyDescent="0.25">
      <c r="A11" s="121" t="s">
        <v>40</v>
      </c>
      <c r="B11" s="115"/>
      <c r="C11" s="30" t="str">
        <f>(comments!B5)</f>
        <v>THIRD TERM</v>
      </c>
      <c r="D11" s="7"/>
      <c r="E11" s="7"/>
      <c r="F11" s="13" t="s">
        <v>167</v>
      </c>
      <c r="G11" s="8"/>
      <c r="H11" s="53">
        <f>INDEX(comments!D8:D47,MATCH(sheet3!C8,comments!B8:B47,0))</f>
        <v>58.431372549019606</v>
      </c>
      <c r="I11" s="10"/>
      <c r="J11" s="10"/>
      <c r="K11" s="122"/>
      <c r="L11" s="122"/>
      <c r="M11" s="122"/>
    </row>
    <row r="12" spans="1:13" x14ac:dyDescent="0.25">
      <c r="A12" s="114" t="s">
        <v>41</v>
      </c>
      <c r="B12" s="115"/>
      <c r="C12" s="30" t="str">
        <f>(comments!E6)</f>
        <v>20TH APRIL 2026</v>
      </c>
      <c r="D12" s="7"/>
      <c r="E12" s="7"/>
      <c r="F12" s="13" t="s">
        <v>44</v>
      </c>
      <c r="G12" s="8"/>
      <c r="H12" s="51" t="str">
        <f>INDEX(comments!E8:E47,MATCH(sheet3!C8,comments!B8:B47,0))</f>
        <v>8th</v>
      </c>
      <c r="I12" s="10"/>
      <c r="J12" s="10"/>
      <c r="K12" s="123"/>
      <c r="L12" s="123"/>
      <c r="M12" s="123"/>
    </row>
    <row r="13" spans="1:13" x14ac:dyDescent="0.25">
      <c r="A13" s="48"/>
      <c r="B13" s="49"/>
      <c r="C13" s="50"/>
      <c r="F13" s="25"/>
      <c r="H13" s="52"/>
      <c r="I13" s="10"/>
      <c r="J13" s="10"/>
      <c r="K13" s="54"/>
      <c r="L13" s="54"/>
      <c r="M13" s="54"/>
    </row>
    <row r="14" spans="1:13" ht="16.5" customHeight="1" x14ac:dyDescent="0.25">
      <c r="A14" s="16" t="s">
        <v>48</v>
      </c>
      <c r="B14" s="8"/>
      <c r="C14" s="8"/>
      <c r="D14" s="13" t="s">
        <v>49</v>
      </c>
      <c r="E14" s="8"/>
      <c r="F14" s="8"/>
      <c r="G14" s="8"/>
      <c r="H14" s="15"/>
      <c r="I14" s="113" t="s">
        <v>50</v>
      </c>
      <c r="J14" s="45" t="s">
        <v>32</v>
      </c>
      <c r="K14" s="44"/>
      <c r="L14" s="17"/>
      <c r="M14" s="44" t="s">
        <v>52</v>
      </c>
    </row>
    <row r="15" spans="1:13" ht="21" customHeight="1" x14ac:dyDescent="0.25">
      <c r="A15" s="11" t="s">
        <v>46</v>
      </c>
      <c r="B15" s="7"/>
      <c r="C15" s="7"/>
      <c r="D15" s="55">
        <f>(comments!C6)</f>
        <v>110</v>
      </c>
      <c r="E15" s="8"/>
      <c r="F15" s="8"/>
      <c r="G15" s="8"/>
      <c r="H15" s="14"/>
      <c r="I15" s="113"/>
      <c r="J15" s="45" t="s">
        <v>33</v>
      </c>
      <c r="K15" s="44"/>
      <c r="L15" s="17"/>
      <c r="M15" s="44" t="s">
        <v>51</v>
      </c>
    </row>
    <row r="16" spans="1:13" ht="18.75" customHeight="1" x14ac:dyDescent="0.25">
      <c r="A16" s="12" t="s">
        <v>47</v>
      </c>
      <c r="B16" s="8"/>
      <c r="C16" s="8"/>
      <c r="D16" s="56">
        <f>VLOOKUP(C8,comments!B8:C47,2,FALSE)</f>
        <v>0</v>
      </c>
      <c r="E16" s="8"/>
      <c r="F16" s="8"/>
      <c r="G16" s="8"/>
      <c r="H16" s="14"/>
      <c r="I16" s="113"/>
      <c r="J16" s="45" t="s">
        <v>34</v>
      </c>
      <c r="K16" s="44"/>
      <c r="L16" s="17"/>
      <c r="M16" s="44" t="s">
        <v>51</v>
      </c>
    </row>
    <row r="17" spans="1:13" ht="17.25" customHeight="1" x14ac:dyDescent="0.25">
      <c r="A17" s="11" t="s">
        <v>45</v>
      </c>
      <c r="B17" s="7"/>
      <c r="C17" s="7"/>
      <c r="D17" s="56">
        <f>(comments!D6)</f>
        <v>22</v>
      </c>
      <c r="E17" s="8"/>
      <c r="F17" s="8"/>
      <c r="G17" s="8"/>
      <c r="H17" s="14"/>
      <c r="I17" s="113"/>
      <c r="J17" s="47" t="s">
        <v>35</v>
      </c>
      <c r="K17" s="46"/>
      <c r="L17" s="40"/>
      <c r="M17" s="44" t="s">
        <v>52</v>
      </c>
    </row>
    <row r="18" spans="1:13" ht="61.5" customHeight="1" x14ac:dyDescent="0.25">
      <c r="A18" s="111" t="s">
        <v>53</v>
      </c>
      <c r="B18" s="112"/>
      <c r="C18" s="19"/>
      <c r="D18" s="19"/>
      <c r="E18" s="19"/>
      <c r="F18" s="41" t="s">
        <v>172</v>
      </c>
      <c r="G18" s="41" t="s">
        <v>171</v>
      </c>
      <c r="H18" s="41" t="s">
        <v>173</v>
      </c>
      <c r="I18" s="42" t="s">
        <v>174</v>
      </c>
      <c r="J18" s="42" t="s">
        <v>175</v>
      </c>
      <c r="K18" s="41" t="s">
        <v>165</v>
      </c>
      <c r="L18" s="41" t="s">
        <v>166</v>
      </c>
      <c r="M18" s="41" t="s">
        <v>54</v>
      </c>
    </row>
    <row r="19" spans="1:13" ht="15" customHeight="1" x14ac:dyDescent="0.25">
      <c r="A19" s="20" t="s">
        <v>6</v>
      </c>
      <c r="B19" s="8"/>
      <c r="C19" s="8"/>
      <c r="D19" s="8"/>
      <c r="E19" s="8"/>
      <c r="F19" s="31">
        <f>VLOOKUP(C8,'3rd Term'!B9:AN48,2,FALSE)</f>
        <v>20</v>
      </c>
      <c r="G19" s="31">
        <f>VLOOKUP(C8,'3rd Term'!B9:AN48,3,FALSE)</f>
        <v>32</v>
      </c>
      <c r="H19" s="31">
        <f>SUM(F19:G19)</f>
        <v>52</v>
      </c>
      <c r="I19" s="5">
        <f>(VLOOKUP(C8,'2nd Term'!B9:AN48,2,FALSE))+(VLOOKUP(C8,'2nd Term'!B9:AN48,3,FALSE))</f>
        <v>68</v>
      </c>
      <c r="J19" s="31">
        <f>(VLOOKUP($C$8,'1st Term'!$B$9:$AN$48,2,FALSE))+(VLOOKUP($C$8,'1st Term'!$B$9:$AN$48,3,FALSE))</f>
        <v>63</v>
      </c>
      <c r="K19" s="31">
        <f>IF(SUM(H19:J19)=0,"-",SUM(H19:J19))</f>
        <v>183</v>
      </c>
      <c r="L19" s="26">
        <f t="shared" ref="L19:L37" si="0">IFERROR(((H19)+(I19)+(J19))/((--(H19&gt;0))+(--(I19&gt;0))+(--(J19&gt;0))),"-")</f>
        <v>61</v>
      </c>
      <c r="M19" s="31" t="str">
        <f>IF(L19="-","-",IF(L19&gt;=70,"A",IF(L19&gt;=50,"C",IF(L19&gt;=40,"P","F"))))</f>
        <v>C</v>
      </c>
    </row>
    <row r="20" spans="1:13" ht="15" customHeight="1" x14ac:dyDescent="0.25">
      <c r="A20" s="20" t="s">
        <v>3</v>
      </c>
      <c r="B20" s="8"/>
      <c r="C20" s="8"/>
      <c r="D20" s="8"/>
      <c r="E20" s="8"/>
      <c r="F20" s="1">
        <f>VLOOKUP(C8,'3rd Term'!B9:AN48,4,FALSE)</f>
        <v>20</v>
      </c>
      <c r="G20" s="31">
        <f>VLOOKUP(C8,'3rd Term'!B9:AN48,5,FALSE)</f>
        <v>21</v>
      </c>
      <c r="H20" s="31">
        <f t="shared" ref="H20:H37" si="1">SUM(F20:G20)</f>
        <v>41</v>
      </c>
      <c r="I20" s="31">
        <f>(VLOOKUP(C8,'2nd Term'!B9:AN48,4,FALSE))+(VLOOKUP(C8,'2nd Term'!B9:AN48,5,FALSE))</f>
        <v>81</v>
      </c>
      <c r="J20" s="31">
        <f>(VLOOKUP($C$8,'1st Term'!$B$9:$AN$48,4,FALSE))+(VLOOKUP($C$8,'1st Term'!$B$9:$AN$48,5,FALSE))</f>
        <v>80</v>
      </c>
      <c r="K20" s="31">
        <f t="shared" ref="K20:K37" si="2">IF(SUM(H20:J20)=0,"-",SUM(H20:J20))</f>
        <v>202</v>
      </c>
      <c r="L20" s="26">
        <f t="shared" si="0"/>
        <v>67.333333333333329</v>
      </c>
      <c r="M20" s="31" t="str">
        <f t="shared" ref="M20:M37" si="3">IF(L20="-","-",IF(L20&gt;=70,"A",IF(L20&gt;=50,"C",IF(L20&gt;=40,"P","F"))))</f>
        <v>C</v>
      </c>
    </row>
    <row r="21" spans="1:13" ht="15" customHeight="1" x14ac:dyDescent="0.25">
      <c r="A21" s="20" t="s">
        <v>4</v>
      </c>
      <c r="B21" s="8"/>
      <c r="C21" s="8"/>
      <c r="D21" s="8"/>
      <c r="E21" s="8"/>
      <c r="F21" s="1">
        <f>VLOOKUP(C8,'3rd Term'!B9:AN48,6,FALSE)</f>
        <v>8</v>
      </c>
      <c r="G21" s="31">
        <f>VLOOKUP(C8,'3rd Term'!B9:AN48,7,FALSE)</f>
        <v>33</v>
      </c>
      <c r="H21" s="31">
        <f t="shared" si="1"/>
        <v>41</v>
      </c>
      <c r="I21" s="31">
        <f>(VLOOKUP(C8,'2nd Term'!B9:AN48,6,FALSE))+(VLOOKUP(C8,'2nd Term'!B9:AN48,7,FALSE))</f>
        <v>91</v>
      </c>
      <c r="J21" s="31">
        <f>(VLOOKUP($C$8,'1st Term'!$B$9:$AN$48,6,FALSE))+(VLOOKUP($C$8,'1st Term'!$B$9:$AN$48,7,FALSE))</f>
        <v>82</v>
      </c>
      <c r="K21" s="31">
        <f t="shared" si="2"/>
        <v>214</v>
      </c>
      <c r="L21" s="26">
        <f t="shared" si="0"/>
        <v>71.333333333333329</v>
      </c>
      <c r="M21" s="31" t="str">
        <f t="shared" si="3"/>
        <v>A</v>
      </c>
    </row>
    <row r="22" spans="1:13" ht="15" customHeight="1" x14ac:dyDescent="0.25">
      <c r="A22" s="20" t="s">
        <v>5</v>
      </c>
      <c r="B22" s="8"/>
      <c r="C22" s="8"/>
      <c r="D22" s="8"/>
      <c r="E22" s="8"/>
      <c r="F22" s="1">
        <f>VLOOKUP(C8,'3rd Term'!B9:AN48,8,FALSE)</f>
        <v>24</v>
      </c>
      <c r="G22" s="31">
        <f>VLOOKUP(C8,'3rd Term'!B9:AN48,9,FALSE)</f>
        <v>36</v>
      </c>
      <c r="H22" s="31">
        <f t="shared" si="1"/>
        <v>60</v>
      </c>
      <c r="I22" s="31">
        <f>(VLOOKUP(C8,'2nd Term'!B9:AN48,8,FALSE))+(VLOOKUP(C8,'2nd Term'!B9:AN48,9,FALSE))</f>
        <v>60</v>
      </c>
      <c r="J22" s="31">
        <f>(VLOOKUP($C$8,'1st Term'!$B$9:$AN$48,8,FALSE))+(VLOOKUP($C$8,'1st Term'!$B$9:$AN$48,9,FALSE))</f>
        <v>40</v>
      </c>
      <c r="K22" s="31">
        <f t="shared" si="2"/>
        <v>160</v>
      </c>
      <c r="L22" s="26">
        <f t="shared" si="0"/>
        <v>53.333333333333336</v>
      </c>
      <c r="M22" s="31" t="str">
        <f t="shared" si="3"/>
        <v>C</v>
      </c>
    </row>
    <row r="23" spans="1:13" ht="15" customHeight="1" x14ac:dyDescent="0.25">
      <c r="A23" s="20" t="s">
        <v>7</v>
      </c>
      <c r="B23" s="8"/>
      <c r="C23" s="8"/>
      <c r="D23" s="8"/>
      <c r="E23" s="8"/>
      <c r="F23" s="1">
        <f>VLOOKUP(C8,'3rd Term'!B9:AN48,10,FALSE)</f>
        <v>16</v>
      </c>
      <c r="G23" s="31">
        <f>VLOOKUP(C8,'3rd Term'!B9:AN48,11,FALSE)</f>
        <v>34</v>
      </c>
      <c r="H23" s="31">
        <f t="shared" si="1"/>
        <v>50</v>
      </c>
      <c r="I23" s="31">
        <f>(VLOOKUP(C8,'2nd Term'!B9:AN48,10,FALSE))+(VLOOKUP(C8,'2nd Term'!B9:AN48,11,FALSE))</f>
        <v>70</v>
      </c>
      <c r="J23" s="31">
        <f>(VLOOKUP($C$8,'1st Term'!$B$9:$AN$48,10,FALSE))+(VLOOKUP($C$8,'1st Term'!$B$9:$AN$48,11,FALSE))</f>
        <v>40</v>
      </c>
      <c r="K23" s="31">
        <f t="shared" si="2"/>
        <v>160</v>
      </c>
      <c r="L23" s="26">
        <f t="shared" si="0"/>
        <v>53.333333333333336</v>
      </c>
      <c r="M23" s="31" t="str">
        <f t="shared" si="3"/>
        <v>C</v>
      </c>
    </row>
    <row r="24" spans="1:13" ht="15" customHeight="1" x14ac:dyDescent="0.25">
      <c r="A24" s="20" t="s">
        <v>8</v>
      </c>
      <c r="B24" s="8"/>
      <c r="C24" s="8"/>
      <c r="D24" s="8"/>
      <c r="E24" s="8"/>
      <c r="F24" s="1">
        <f>VLOOKUP(C8,'3rd Term'!B9:AN48,12,FALSE)</f>
        <v>19</v>
      </c>
      <c r="G24" s="31">
        <f>VLOOKUP(C8,'3rd Term'!B9:AN48,13,FALSE)</f>
        <v>35</v>
      </c>
      <c r="H24" s="31">
        <f t="shared" si="1"/>
        <v>54</v>
      </c>
      <c r="I24" s="31">
        <f>(VLOOKUP(C8,'2nd Term'!B9:AN48,12,FALSE))+(VLOOKUP(C8,'2nd Term'!B9:AN48,13,FALSE))</f>
        <v>51</v>
      </c>
      <c r="J24" s="31">
        <f>(VLOOKUP($C$8,'1st Term'!$B$9:$AN$48,12,FALSE))+(VLOOKUP($C$8,'1st Term'!$B$9:$AN$48,13,FALSE))</f>
        <v>55</v>
      </c>
      <c r="K24" s="31">
        <f t="shared" si="2"/>
        <v>160</v>
      </c>
      <c r="L24" s="26">
        <f t="shared" si="0"/>
        <v>53.333333333333336</v>
      </c>
      <c r="M24" s="31" t="str">
        <f t="shared" si="3"/>
        <v>C</v>
      </c>
    </row>
    <row r="25" spans="1:13" ht="15" customHeight="1" x14ac:dyDescent="0.25">
      <c r="A25" s="20" t="s">
        <v>9</v>
      </c>
      <c r="B25" s="8"/>
      <c r="C25" s="8"/>
      <c r="D25" s="8"/>
      <c r="E25" s="8"/>
      <c r="F25" s="1">
        <f>VLOOKUP(C8,'3rd Term'!B9:AN48,14,FALSE)</f>
        <v>25</v>
      </c>
      <c r="G25" s="31">
        <f>VLOOKUP(C8,'3rd Term'!B9:AN48,15,FALSE)</f>
        <v>23</v>
      </c>
      <c r="H25" s="31">
        <f t="shared" si="1"/>
        <v>48</v>
      </c>
      <c r="I25" s="31">
        <f>(VLOOKUP(C8,'2nd Term'!B9:AN48,14,FALSE))+(VLOOKUP(C8,'2nd Term'!B9:AN48,15,FALSE))</f>
        <v>56</v>
      </c>
      <c r="J25" s="31">
        <f>(VLOOKUP($C$8,'1st Term'!$B$9:$AN$48,14,FALSE))+(VLOOKUP($C$8,'1st Term'!$B$9:$AN$48,15,FALSE))</f>
        <v>73</v>
      </c>
      <c r="K25" s="31">
        <f t="shared" si="2"/>
        <v>177</v>
      </c>
      <c r="L25" s="26">
        <f t="shared" si="0"/>
        <v>59</v>
      </c>
      <c r="M25" s="31" t="str">
        <f t="shared" si="3"/>
        <v>C</v>
      </c>
    </row>
    <row r="26" spans="1:13" ht="15" customHeight="1" x14ac:dyDescent="0.25">
      <c r="A26" s="20" t="s">
        <v>10</v>
      </c>
      <c r="B26" s="8"/>
      <c r="C26" s="8"/>
      <c r="D26" s="8"/>
      <c r="E26" s="8"/>
      <c r="F26" s="1">
        <f>VLOOKUP(C8,'3rd Term'!B9:AN48,16,FALSE)</f>
        <v>15</v>
      </c>
      <c r="G26" s="31">
        <f>VLOOKUP(C8,'3rd Term'!B9:AN48,17,FALSE)</f>
        <v>38</v>
      </c>
      <c r="H26" s="31">
        <f t="shared" si="1"/>
        <v>53</v>
      </c>
      <c r="I26" s="31">
        <f>(VLOOKUP(C8,'2nd Term'!B9:AN48,16,FALSE))+(VLOOKUP(C8,'2nd Term'!B9:AN48,17,FALSE))</f>
        <v>72</v>
      </c>
      <c r="J26" s="31">
        <f>(VLOOKUP($C$8,'1st Term'!$B$9:$AN$48,16,FALSE))+(VLOOKUP($C$8,'1st Term'!$B$9:$AN$48,17,FALSE))</f>
        <v>75</v>
      </c>
      <c r="K26" s="31">
        <f t="shared" si="2"/>
        <v>200</v>
      </c>
      <c r="L26" s="26">
        <f t="shared" si="0"/>
        <v>66.666666666666671</v>
      </c>
      <c r="M26" s="31" t="str">
        <f t="shared" si="3"/>
        <v>C</v>
      </c>
    </row>
    <row r="27" spans="1:13" ht="15" hidden="1" customHeight="1" x14ac:dyDescent="0.25">
      <c r="A27" s="20" t="s">
        <v>11</v>
      </c>
      <c r="B27" s="8"/>
      <c r="C27" s="8"/>
      <c r="D27" s="8"/>
      <c r="E27" s="8"/>
      <c r="F27" s="1">
        <f>VLOOKUP(C8,'3rd Term'!B9:AN48,18,FALSE)</f>
        <v>0</v>
      </c>
      <c r="G27" s="31">
        <f>VLOOKUP(C8,'3rd Term'!B9:AN48,19,FALSE)</f>
        <v>0</v>
      </c>
      <c r="H27" s="31">
        <f t="shared" si="1"/>
        <v>0</v>
      </c>
      <c r="I27" s="31">
        <f>(VLOOKUP(C8,'2nd Term'!B9:AN48,18,FALSE))+(VLOOKUP(C8,'2nd Term'!B9:AN48,19,FALSE))</f>
        <v>0</v>
      </c>
      <c r="J27" s="31">
        <f>(VLOOKUP($C$8,'1st Term'!$B$9:$AN$48,18,FALSE))+(VLOOKUP($C$8,'1st Term'!$B$9:$AN$48,19,FALSE))</f>
        <v>0</v>
      </c>
      <c r="K27" s="31" t="str">
        <f t="shared" si="2"/>
        <v>-</v>
      </c>
      <c r="L27" s="26" t="str">
        <f t="shared" si="0"/>
        <v>-</v>
      </c>
      <c r="M27" s="31" t="str">
        <f t="shared" si="3"/>
        <v>-</v>
      </c>
    </row>
    <row r="28" spans="1:13" ht="15" customHeight="1" x14ac:dyDescent="0.25">
      <c r="A28" s="20" t="s">
        <v>13</v>
      </c>
      <c r="B28" s="8"/>
      <c r="C28" s="8"/>
      <c r="D28" s="8"/>
      <c r="E28" s="8"/>
      <c r="F28" s="1">
        <f>VLOOKUP(C8,'3rd Term'!B9:AN48,20,FALSE)</f>
        <v>15</v>
      </c>
      <c r="G28" s="31">
        <f>VLOOKUP(C8,'3rd Term'!B9:AN48,21,FALSE)</f>
        <v>42</v>
      </c>
      <c r="H28" s="31">
        <f t="shared" si="1"/>
        <v>57</v>
      </c>
      <c r="I28" s="31">
        <f>(VLOOKUP(C8,'2nd Term'!B9:AN48,20,FALSE))+(VLOOKUP(C8,'2nd Term'!B9:AN48,21,FALSE))</f>
        <v>70</v>
      </c>
      <c r="J28" s="31">
        <f>(VLOOKUP($C$8,'1st Term'!$B$9:$AN$48,20,FALSE))+(VLOOKUP($C$8,'1st Term'!$B$9:$AN$48,21,FALSE))</f>
        <v>63</v>
      </c>
      <c r="K28" s="31">
        <f t="shared" si="2"/>
        <v>190</v>
      </c>
      <c r="L28" s="26">
        <f t="shared" si="0"/>
        <v>63.333333333333336</v>
      </c>
      <c r="M28" s="31" t="str">
        <f t="shared" si="3"/>
        <v>C</v>
      </c>
    </row>
    <row r="29" spans="1:13" x14ac:dyDescent="0.25">
      <c r="A29" s="20" t="s">
        <v>14</v>
      </c>
      <c r="B29" s="8"/>
      <c r="C29" s="8"/>
      <c r="D29" s="8"/>
      <c r="E29" s="8"/>
      <c r="F29" s="1">
        <f>VLOOKUP(C8,'3rd Term'!B9:AN48,22,FALSE)</f>
        <v>23</v>
      </c>
      <c r="G29" s="31">
        <f>VLOOKUP(C8,'3rd Term'!B9:AN48,23,FALSE)</f>
        <v>30</v>
      </c>
      <c r="H29" s="31">
        <f t="shared" si="1"/>
        <v>53</v>
      </c>
      <c r="I29" s="31">
        <f>(VLOOKUP(C8,'2nd Term'!B9:AN48,22,FALSE))+(VLOOKUP(C8,'2nd Term'!B9:AN48,23,FALSE))</f>
        <v>85</v>
      </c>
      <c r="J29" s="31">
        <f>(VLOOKUP($C$8,'1st Term'!$B$9:$AN$48,22,FALSE))+(VLOOKUP($C$8,'1st Term'!$B$9:$AN$48,23,FALSE))</f>
        <v>61</v>
      </c>
      <c r="K29" s="31">
        <f t="shared" si="2"/>
        <v>199</v>
      </c>
      <c r="L29" s="26">
        <f t="shared" si="0"/>
        <v>66.333333333333329</v>
      </c>
      <c r="M29" s="31" t="str">
        <f t="shared" si="3"/>
        <v>C</v>
      </c>
    </row>
    <row r="30" spans="1:13" x14ac:dyDescent="0.25">
      <c r="A30" s="20" t="s">
        <v>15</v>
      </c>
      <c r="B30" s="8"/>
      <c r="C30" s="8"/>
      <c r="D30" s="8"/>
      <c r="E30" s="8"/>
      <c r="F30" s="1">
        <f>VLOOKUP(C8,'3rd Term'!B9:AN48,24,FALSE)</f>
        <v>23</v>
      </c>
      <c r="G30" s="31">
        <f>VLOOKUP(C8,'3rd Term'!B9:AN48,25,FALSE)</f>
        <v>28</v>
      </c>
      <c r="H30" s="31">
        <f t="shared" si="1"/>
        <v>51</v>
      </c>
      <c r="I30" s="31">
        <f>(VLOOKUP(C8,'2nd Term'!B9:AN48,24,FALSE))+(VLOOKUP(C8,'2nd Term'!B9:AN48,25,FALSE))</f>
        <v>50</v>
      </c>
      <c r="J30" s="31">
        <f>(VLOOKUP($C$8,'1st Term'!$B$9:$AN$48,24,FALSE))+(VLOOKUP($C$8,'1st Term'!$B$9:$AN$48,25,FALSE))</f>
        <v>56</v>
      </c>
      <c r="K30" s="31">
        <f t="shared" si="2"/>
        <v>157</v>
      </c>
      <c r="L30" s="26">
        <f t="shared" si="0"/>
        <v>52.333333333333336</v>
      </c>
      <c r="M30" s="31" t="str">
        <f t="shared" si="3"/>
        <v>C</v>
      </c>
    </row>
    <row r="31" spans="1:13" hidden="1" x14ac:dyDescent="0.25">
      <c r="A31" s="20" t="s">
        <v>22</v>
      </c>
      <c r="B31" s="8"/>
      <c r="C31" s="8"/>
      <c r="D31" s="8"/>
      <c r="E31" s="8"/>
      <c r="F31" s="1">
        <f>VLOOKUP(C8,'3rd Term'!B9:AN48,26,FALSE)</f>
        <v>0</v>
      </c>
      <c r="G31" s="31">
        <f>VLOOKUP(C8,'3rd Term'!B9:AN48,27,FALSE)</f>
        <v>0</v>
      </c>
      <c r="H31" s="31">
        <f t="shared" si="1"/>
        <v>0</v>
      </c>
      <c r="I31" s="31">
        <f>(VLOOKUP(C8,'2nd Term'!B9:AN48,26,FALSE))+(VLOOKUP(C8,'2nd Term'!B9:AN48,27,FALSE))</f>
        <v>0</v>
      </c>
      <c r="J31" s="31">
        <f>(VLOOKUP($C$8,'1st Term'!$B$9:$AN$48,26,FALSE))+(VLOOKUP($C$8,'1st Term'!$B$9:$AN$48,27,FALSE))</f>
        <v>0</v>
      </c>
      <c r="K31" s="31" t="str">
        <f t="shared" si="2"/>
        <v>-</v>
      </c>
      <c r="L31" s="26" t="str">
        <f t="shared" si="0"/>
        <v>-</v>
      </c>
      <c r="M31" s="31" t="str">
        <f t="shared" si="3"/>
        <v>-</v>
      </c>
    </row>
    <row r="32" spans="1:13" x14ac:dyDescent="0.25">
      <c r="A32" s="20" t="s">
        <v>16</v>
      </c>
      <c r="B32" s="8"/>
      <c r="C32" s="8"/>
      <c r="D32" s="8"/>
      <c r="E32" s="8"/>
      <c r="F32" s="1">
        <f>VLOOKUP(C8,'3rd Term'!B9:AN48,28,FALSE)</f>
        <v>19</v>
      </c>
      <c r="G32" s="31">
        <f>VLOOKUP(C8,'3rd Term'!B9:AN48,29,FALSE)</f>
        <v>13</v>
      </c>
      <c r="H32" s="31">
        <f t="shared" si="1"/>
        <v>32</v>
      </c>
      <c r="I32" s="31">
        <f>(VLOOKUP(C8,'2nd Term'!B9:AN48,28,FALSE))+(VLOOKUP(C8,'2nd Term'!B9:AN48,29,FALSE))</f>
        <v>54</v>
      </c>
      <c r="J32" s="31">
        <f>(VLOOKUP($C$8,'1st Term'!$B$9:$AN$48,28,FALSE))+(VLOOKUP($C$8,'1st Term'!$B$9:$AN$48,29,FALSE))</f>
        <v>55</v>
      </c>
      <c r="K32" s="31">
        <f t="shared" si="2"/>
        <v>141</v>
      </c>
      <c r="L32" s="26">
        <f t="shared" si="0"/>
        <v>47</v>
      </c>
      <c r="M32" s="31" t="str">
        <f t="shared" si="3"/>
        <v>P</v>
      </c>
    </row>
    <row r="33" spans="1:13" x14ac:dyDescent="0.25">
      <c r="A33" s="20" t="s">
        <v>17</v>
      </c>
      <c r="B33" s="8"/>
      <c r="C33" s="8"/>
      <c r="D33" s="8"/>
      <c r="E33" s="8"/>
      <c r="F33" s="1">
        <f>VLOOKUP(C8,'3rd Term'!B9:AN48,30,FALSE)</f>
        <v>30</v>
      </c>
      <c r="G33" s="31">
        <f>VLOOKUP(C8,'3rd Term'!B9:AN48,31,FALSE)</f>
        <v>13</v>
      </c>
      <c r="H33" s="31">
        <f t="shared" si="1"/>
        <v>43</v>
      </c>
      <c r="I33" s="31">
        <f>(VLOOKUP(C8,'2nd Term'!B9:AN48,30,FALSE))+(VLOOKUP(C8,'2nd Term'!B9:AN48,31,FALSE))</f>
        <v>46</v>
      </c>
      <c r="J33" s="31">
        <f>(VLOOKUP($C$8,'1st Term'!$B$9:$AN$48,30,FALSE))+(VLOOKUP($C$8,'1st Term'!$B$9:$AN$48,31,FALSE))</f>
        <v>50</v>
      </c>
      <c r="K33" s="31">
        <f t="shared" si="2"/>
        <v>139</v>
      </c>
      <c r="L33" s="26">
        <f t="shared" si="0"/>
        <v>46.333333333333336</v>
      </c>
      <c r="M33" s="31" t="str">
        <f t="shared" si="3"/>
        <v>P</v>
      </c>
    </row>
    <row r="34" spans="1:13" x14ac:dyDescent="0.25">
      <c r="A34" s="20" t="s">
        <v>18</v>
      </c>
      <c r="B34" s="8"/>
      <c r="C34" s="8"/>
      <c r="D34" s="8"/>
      <c r="E34" s="8"/>
      <c r="F34" s="1">
        <f>VLOOKUP(C8,'3rd Term'!B9:AN48,32,FALSE)</f>
        <v>20</v>
      </c>
      <c r="G34" s="31">
        <f>VLOOKUP(C8,'3rd Term'!B9:AN48,33,FALSE)</f>
        <v>41</v>
      </c>
      <c r="H34" s="31">
        <f t="shared" si="1"/>
        <v>61</v>
      </c>
      <c r="I34" s="31">
        <f>(VLOOKUP(C8,'2nd Term'!B9:AN48,32,FALSE))+(VLOOKUP(C8,'2nd Term'!B9:AN48,33,FALSE))</f>
        <v>61</v>
      </c>
      <c r="J34" s="31">
        <f>(VLOOKUP($C$8,'1st Term'!$B$9:$AN$48,32,FALSE))+(VLOOKUP($C$8,'1st Term'!$B$9:$AN$48,33,FALSE))</f>
        <v>58</v>
      </c>
      <c r="K34" s="31">
        <f t="shared" si="2"/>
        <v>180</v>
      </c>
      <c r="L34" s="26">
        <f t="shared" si="0"/>
        <v>60</v>
      </c>
      <c r="M34" s="31" t="str">
        <f t="shared" si="3"/>
        <v>C</v>
      </c>
    </row>
    <row r="35" spans="1:13" x14ac:dyDescent="0.25">
      <c r="A35" s="20" t="s">
        <v>19</v>
      </c>
      <c r="B35" s="8"/>
      <c r="C35" s="8"/>
      <c r="D35" s="8"/>
      <c r="E35" s="8"/>
      <c r="F35" s="1">
        <f>VLOOKUP(C8,'3rd Term'!B9:AN48,34,FALSE)</f>
        <v>25</v>
      </c>
      <c r="G35" s="31">
        <f>VLOOKUP(C8,'3rd Term'!B9:AN48,35,FALSE)</f>
        <v>27</v>
      </c>
      <c r="H35" s="31">
        <f t="shared" si="1"/>
        <v>52</v>
      </c>
      <c r="I35" s="31">
        <f>(VLOOKUP(C8,'2nd Term'!B9:AN48,34,FALSE))+(VLOOKUP(C8,'2nd Term'!B9:AN48,35,FALSE))</f>
        <v>62</v>
      </c>
      <c r="J35" s="31">
        <f>(VLOOKUP($C$8,'1st Term'!$B$9:$AN$48,34,FALSE))+(VLOOKUP($C$8,'1st Term'!$B$9:$AN$48,35,FALSE))</f>
        <v>45</v>
      </c>
      <c r="K35" s="31">
        <f t="shared" si="2"/>
        <v>159</v>
      </c>
      <c r="L35" s="26">
        <f t="shared" si="0"/>
        <v>53</v>
      </c>
      <c r="M35" s="31" t="str">
        <f t="shared" si="3"/>
        <v>C</v>
      </c>
    </row>
    <row r="36" spans="1:13" x14ac:dyDescent="0.25">
      <c r="A36" s="20" t="s">
        <v>20</v>
      </c>
      <c r="B36" s="8"/>
      <c r="C36" s="8"/>
      <c r="D36" s="8"/>
      <c r="E36" s="8"/>
      <c r="F36" s="1">
        <f>VLOOKUP(C8,'3rd Term'!B9:AN48,36,FALSE)</f>
        <v>24</v>
      </c>
      <c r="G36" s="31">
        <f>VLOOKUP(C8,'3rd Term'!B9:AN48,37,FALSE)</f>
        <v>46</v>
      </c>
      <c r="H36" s="31">
        <f t="shared" si="1"/>
        <v>70</v>
      </c>
      <c r="I36" s="31">
        <f>(VLOOKUP(C8,'2nd Term'!B9:AN48,36,FALSE))+(VLOOKUP(C8,'2nd Term'!B9:AN48,37,FALSE))</f>
        <v>72</v>
      </c>
      <c r="J36" s="31">
        <f>(VLOOKUP($C$8,'1st Term'!$B$9:$AN$48,36,FALSE))+(VLOOKUP($C$8,'1st Term'!$B$9:$AN$48,37,FALSE))</f>
        <v>51</v>
      </c>
      <c r="K36" s="31">
        <f t="shared" si="2"/>
        <v>193</v>
      </c>
      <c r="L36" s="26">
        <f t="shared" si="0"/>
        <v>64.333333333333329</v>
      </c>
      <c r="M36" s="31" t="str">
        <f t="shared" si="3"/>
        <v>C</v>
      </c>
    </row>
    <row r="37" spans="1:13" x14ac:dyDescent="0.25">
      <c r="A37" s="18" t="s">
        <v>21</v>
      </c>
      <c r="B37" s="7"/>
      <c r="C37" s="7"/>
      <c r="D37" s="7"/>
      <c r="E37" s="7"/>
      <c r="F37" s="57">
        <f>VLOOKUP(C8,'3rd Term'!B9:AN48,38,FALSE)</f>
        <v>9</v>
      </c>
      <c r="G37" s="31">
        <f>VLOOKUP(C8,'3rd Term'!B9:AN48,39,FALSE)</f>
        <v>24</v>
      </c>
      <c r="H37" s="31">
        <f t="shared" si="1"/>
        <v>33</v>
      </c>
      <c r="I37" s="31">
        <f>(VLOOKUP(C8,'2nd Term'!B9:AN48,38,FALSE))+(VLOOKUP(C8,'2nd Term'!B9:AN48,39,FALSE))</f>
        <v>67</v>
      </c>
      <c r="J37" s="31">
        <f>(VLOOKUP($C$8,'1st Term'!$B$9:$AN$48,38,FALSE))+(VLOOKUP($C$8,'1st Term'!$B$9:$AN$48,39,FALSE))</f>
        <v>66</v>
      </c>
      <c r="K37" s="31">
        <f t="shared" si="2"/>
        <v>166</v>
      </c>
      <c r="L37" s="26">
        <f t="shared" si="0"/>
        <v>55.333333333333336</v>
      </c>
      <c r="M37" s="31" t="str">
        <f t="shared" si="3"/>
        <v>C</v>
      </c>
    </row>
    <row r="43" spans="1:13" x14ac:dyDescent="0.25">
      <c r="G43" s="110" t="s">
        <v>62</v>
      </c>
      <c r="H43" s="110"/>
      <c r="I43" s="110"/>
      <c r="J43" s="110"/>
      <c r="K43" s="110"/>
      <c r="L43" s="110"/>
      <c r="M43" s="110"/>
    </row>
    <row r="44" spans="1:13" x14ac:dyDescent="0.25">
      <c r="A44" s="77" t="s">
        <v>58</v>
      </c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</row>
    <row r="45" spans="1:13" ht="12.75" customHeight="1" x14ac:dyDescent="0.25">
      <c r="A45" s="50" t="str">
        <f>VLOOKUP(C8,comments!B8:X47,7,0)</f>
        <v>He is sometimes playful in class and needs to concentrate more.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</row>
    <row r="46" spans="1:13" x14ac:dyDescent="0.25">
      <c r="A46" s="50"/>
      <c r="B46" s="50"/>
      <c r="C46" s="50"/>
      <c r="D46" s="50"/>
      <c r="E46" s="50"/>
      <c r="F46" s="78"/>
      <c r="G46" s="78"/>
      <c r="H46" s="78"/>
      <c r="I46" s="78"/>
      <c r="J46" s="78"/>
      <c r="K46" s="78"/>
      <c r="L46" s="78"/>
      <c r="M46" s="78"/>
    </row>
    <row r="47" spans="1:13" x14ac:dyDescent="0.25">
      <c r="A47" s="79" t="s">
        <v>60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</row>
    <row r="48" spans="1:13" ht="12" customHeight="1" x14ac:dyDescent="0.25">
      <c r="A48" s="50" t="str">
        <f>VLOOKUP(C8,comments!B8:X47,14,0)</f>
        <v>Just fair. You can improve if only you will be more regular at school next term. Promoted to the Next Class.</v>
      </c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</row>
    <row r="49" spans="1:13" x14ac:dyDescent="0.25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</row>
    <row r="50" spans="1:13" x14ac:dyDescent="0.25">
      <c r="A50" s="79" t="s">
        <v>59</v>
      </c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</row>
    <row r="51" spans="1:13" ht="12" customHeight="1" x14ac:dyDescent="0.25">
      <c r="A51" s="78" t="s">
        <v>61</v>
      </c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</row>
  </sheetData>
  <sheetProtection algorithmName="SHA-512" hashValue="jq1w3uYpLtOljJ1YAowymFlaHcsqt2PfYIj1m+gs14BOSg6plbGQCRKkShUK79+o5nu6pJIt1VvIWsXkanvrzQ==" saltValue="HpN7G9CJpVu/iVV1uNc1Sw==" spinCount="100000" sheet="1" scenarios="1"/>
  <mergeCells count="13">
    <mergeCell ref="I14:I17"/>
    <mergeCell ref="A18:B18"/>
    <mergeCell ref="G43:M43"/>
    <mergeCell ref="B1:M2"/>
    <mergeCell ref="B3:M3"/>
    <mergeCell ref="B4:M4"/>
    <mergeCell ref="B5:M6"/>
    <mergeCell ref="K7:M12"/>
    <mergeCell ref="A8:B8"/>
    <mergeCell ref="A9:B9"/>
    <mergeCell ref="A10:B10"/>
    <mergeCell ref="A11:B11"/>
    <mergeCell ref="A12:B12"/>
  </mergeCells>
  <conditionalFormatting sqref="M19:M37">
    <cfRule type="cellIs" dxfId="99" priority="3" operator="equal">
      <formula>"F"</formula>
    </cfRule>
    <cfRule type="cellIs" dxfId="98" priority="4" operator="equal">
      <formula>"P"</formula>
    </cfRule>
    <cfRule type="cellIs" dxfId="97" priority="5" operator="equal">
      <formula>"C"</formula>
    </cfRule>
    <cfRule type="cellIs" dxfId="96" priority="6" operator="equal">
      <formula>"A"</formula>
    </cfRule>
  </conditionalFormatting>
  <conditionalFormatting sqref="F19:J37">
    <cfRule type="cellIs" dxfId="95" priority="1" operator="equal">
      <formula>0</formula>
    </cfRule>
    <cfRule type="colorScale" priority="2">
      <colorScale>
        <cfvo type="min"/>
        <cfvo type="num" val="0"/>
        <color rgb="FFFF7128"/>
        <color theme="0"/>
      </colorScale>
    </cfRule>
  </conditionalFormatting>
  <dataValidations disablePrompts="1" count="1">
    <dataValidation type="list" allowBlank="1" showInputMessage="1" showErrorMessage="1" sqref="M14:M17" xr:uid="{71ABE079-F59E-4B83-9FCD-D299DCB895A2}">
      <formula1>"A,B,C,D,E"</formula1>
    </dataValidation>
  </dataValidations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F3D8C-2C29-420C-9256-47BD903D7108}">
  <sheetPr>
    <tabColor rgb="FF7030A0"/>
  </sheetPr>
  <dimension ref="A1:M51"/>
  <sheetViews>
    <sheetView workbookViewId="0">
      <selection activeCell="O17" sqref="O17"/>
    </sheetView>
  </sheetViews>
  <sheetFormatPr defaultRowHeight="15" x14ac:dyDescent="0.25"/>
  <cols>
    <col min="3" max="3" width="8.140625" customWidth="1"/>
    <col min="4" max="4" width="9.42578125" customWidth="1"/>
    <col min="5" max="5" width="10.5703125" customWidth="1"/>
    <col min="6" max="6" width="6.28515625" customWidth="1"/>
    <col min="7" max="8" width="5.85546875" customWidth="1"/>
    <col min="9" max="9" width="5.5703125" customWidth="1"/>
    <col min="10" max="11" width="5.28515625" customWidth="1"/>
    <col min="12" max="12" width="6.28515625" customWidth="1"/>
    <col min="13" max="13" width="5.7109375" customWidth="1"/>
  </cols>
  <sheetData>
    <row r="1" spans="1:13" ht="15" customHeight="1" x14ac:dyDescent="0.25">
      <c r="A1" s="10"/>
      <c r="B1" s="116" t="s">
        <v>185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</row>
    <row r="2" spans="1:13" ht="15" customHeight="1" x14ac:dyDescent="0.25">
      <c r="A2" s="10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</row>
    <row r="3" spans="1:13" ht="15.75" x14ac:dyDescent="0.25">
      <c r="A3" s="10"/>
      <c r="B3" s="117" t="s">
        <v>184</v>
      </c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</row>
    <row r="4" spans="1:13" ht="15.75" x14ac:dyDescent="0.25">
      <c r="A4" s="10"/>
      <c r="B4" s="118" t="s">
        <v>186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</row>
    <row r="5" spans="1:13" ht="15" customHeight="1" x14ac:dyDescent="0.25">
      <c r="A5" s="10"/>
      <c r="B5" s="119" t="s">
        <v>36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</row>
    <row r="6" spans="1:13" ht="15" customHeight="1" x14ac:dyDescent="0.25">
      <c r="A6" s="10"/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</row>
    <row r="7" spans="1:13" ht="15" customHeight="1" x14ac:dyDescent="0.25">
      <c r="I7" s="10"/>
      <c r="J7" s="10"/>
      <c r="K7" s="122" t="s">
        <v>105</v>
      </c>
      <c r="L7" s="122"/>
      <c r="M7" s="122"/>
    </row>
    <row r="8" spans="1:13" x14ac:dyDescent="0.25">
      <c r="A8" s="120" t="s">
        <v>37</v>
      </c>
      <c r="B8" s="120"/>
      <c r="C8" s="29" t="str">
        <f>('1st Term'!B12)</f>
        <v>ASIBOR NANCY</v>
      </c>
      <c r="D8" s="8"/>
      <c r="E8" s="8"/>
      <c r="F8" s="8"/>
      <c r="G8" s="8"/>
      <c r="H8" s="9"/>
      <c r="I8" s="10"/>
      <c r="J8" s="10"/>
      <c r="K8" s="122"/>
      <c r="L8" s="122"/>
      <c r="M8" s="122"/>
    </row>
    <row r="9" spans="1:13" x14ac:dyDescent="0.25">
      <c r="A9" s="121" t="s">
        <v>38</v>
      </c>
      <c r="B9" s="115"/>
      <c r="C9" s="29" t="str">
        <f>('1st Term'!B7)</f>
        <v>JSS 1A</v>
      </c>
      <c r="D9" s="8"/>
      <c r="E9" s="8"/>
      <c r="F9" s="8"/>
      <c r="G9" s="8"/>
      <c r="H9" s="9"/>
      <c r="I9" s="10"/>
      <c r="J9" s="10"/>
      <c r="K9" s="122"/>
      <c r="L9" s="122"/>
      <c r="M9" s="122"/>
    </row>
    <row r="10" spans="1:13" x14ac:dyDescent="0.25">
      <c r="A10" s="121" t="s">
        <v>39</v>
      </c>
      <c r="B10" s="115"/>
      <c r="C10" s="29" t="str">
        <f>(comments!C4)</f>
        <v>2025/2026</v>
      </c>
      <c r="D10" s="8"/>
      <c r="E10" s="8"/>
      <c r="F10" s="43"/>
      <c r="G10" s="43"/>
      <c r="H10" s="9"/>
      <c r="I10" s="10"/>
      <c r="J10" s="10"/>
      <c r="K10" s="122"/>
      <c r="L10" s="122"/>
      <c r="M10" s="122"/>
    </row>
    <row r="11" spans="1:13" x14ac:dyDescent="0.25">
      <c r="A11" s="121" t="s">
        <v>40</v>
      </c>
      <c r="B11" s="115"/>
      <c r="C11" s="30" t="str">
        <f>(comments!B5)</f>
        <v>THIRD TERM</v>
      </c>
      <c r="D11" s="7"/>
      <c r="E11" s="7"/>
      <c r="F11" s="13" t="s">
        <v>167</v>
      </c>
      <c r="G11" s="8"/>
      <c r="H11" s="53">
        <f>INDEX(comments!D8:D47,MATCH(sheet4!C8,comments!B8:B47,0))</f>
        <v>66.352941176470594</v>
      </c>
      <c r="I11" s="10"/>
      <c r="J11" s="10"/>
      <c r="K11" s="122"/>
      <c r="L11" s="122"/>
      <c r="M11" s="122"/>
    </row>
    <row r="12" spans="1:13" x14ac:dyDescent="0.25">
      <c r="A12" s="114" t="s">
        <v>41</v>
      </c>
      <c r="B12" s="115"/>
      <c r="C12" s="30" t="str">
        <f>(comments!E6)</f>
        <v>20TH APRIL 2026</v>
      </c>
      <c r="D12" s="7"/>
      <c r="E12" s="7"/>
      <c r="F12" s="13" t="s">
        <v>44</v>
      </c>
      <c r="G12" s="8"/>
      <c r="H12" s="51" t="str">
        <f>INDEX(comments!E8:E47,MATCH(sheet4!C8,comments!B8:B47,0))</f>
        <v>3rd</v>
      </c>
      <c r="I12" s="10"/>
      <c r="J12" s="10"/>
      <c r="K12" s="123"/>
      <c r="L12" s="123"/>
      <c r="M12" s="123"/>
    </row>
    <row r="13" spans="1:13" x14ac:dyDescent="0.25">
      <c r="A13" s="48"/>
      <c r="B13" s="49"/>
      <c r="C13" s="50"/>
      <c r="F13" s="25"/>
      <c r="H13" s="52"/>
      <c r="I13" s="10"/>
      <c r="J13" s="10"/>
      <c r="K13" s="54"/>
      <c r="L13" s="54"/>
      <c r="M13" s="54"/>
    </row>
    <row r="14" spans="1:13" ht="16.5" customHeight="1" x14ac:dyDescent="0.25">
      <c r="A14" s="16" t="s">
        <v>48</v>
      </c>
      <c r="B14" s="8"/>
      <c r="C14" s="8"/>
      <c r="D14" s="13" t="s">
        <v>49</v>
      </c>
      <c r="E14" s="8"/>
      <c r="F14" s="8"/>
      <c r="G14" s="8"/>
      <c r="H14" s="15"/>
      <c r="I14" s="113" t="s">
        <v>50</v>
      </c>
      <c r="J14" s="45" t="s">
        <v>32</v>
      </c>
      <c r="K14" s="44"/>
      <c r="L14" s="17"/>
      <c r="M14" s="44" t="s">
        <v>52</v>
      </c>
    </row>
    <row r="15" spans="1:13" ht="21" customHeight="1" x14ac:dyDescent="0.25">
      <c r="A15" s="11" t="s">
        <v>46</v>
      </c>
      <c r="B15" s="7"/>
      <c r="C15" s="7"/>
      <c r="D15" s="55">
        <f>(comments!C6)</f>
        <v>110</v>
      </c>
      <c r="E15" s="8"/>
      <c r="F15" s="8"/>
      <c r="G15" s="8"/>
      <c r="H15" s="14"/>
      <c r="I15" s="113"/>
      <c r="J15" s="45" t="s">
        <v>33</v>
      </c>
      <c r="K15" s="44"/>
      <c r="L15" s="17"/>
      <c r="M15" s="44" t="s">
        <v>51</v>
      </c>
    </row>
    <row r="16" spans="1:13" ht="18.75" customHeight="1" x14ac:dyDescent="0.25">
      <c r="A16" s="12" t="s">
        <v>47</v>
      </c>
      <c r="B16" s="8"/>
      <c r="C16" s="8"/>
      <c r="D16" s="56">
        <f>VLOOKUP(C8,comments!B8:C47,2,FALSE)</f>
        <v>0</v>
      </c>
      <c r="E16" s="8"/>
      <c r="F16" s="8"/>
      <c r="G16" s="8"/>
      <c r="H16" s="14"/>
      <c r="I16" s="113"/>
      <c r="J16" s="45" t="s">
        <v>34</v>
      </c>
      <c r="K16" s="44"/>
      <c r="L16" s="17"/>
      <c r="M16" s="44" t="s">
        <v>51</v>
      </c>
    </row>
    <row r="17" spans="1:13" ht="17.25" customHeight="1" x14ac:dyDescent="0.25">
      <c r="A17" s="11" t="s">
        <v>45</v>
      </c>
      <c r="B17" s="7"/>
      <c r="C17" s="7"/>
      <c r="D17" s="56">
        <f>(comments!D6)</f>
        <v>22</v>
      </c>
      <c r="E17" s="8"/>
      <c r="F17" s="8"/>
      <c r="G17" s="8"/>
      <c r="H17" s="14"/>
      <c r="I17" s="113"/>
      <c r="J17" s="47" t="s">
        <v>35</v>
      </c>
      <c r="K17" s="46"/>
      <c r="L17" s="40"/>
      <c r="M17" s="44" t="s">
        <v>52</v>
      </c>
    </row>
    <row r="18" spans="1:13" ht="61.5" customHeight="1" x14ac:dyDescent="0.25">
      <c r="A18" s="111" t="s">
        <v>53</v>
      </c>
      <c r="B18" s="112"/>
      <c r="C18" s="19"/>
      <c r="D18" s="19"/>
      <c r="E18" s="19"/>
      <c r="F18" s="41" t="s">
        <v>172</v>
      </c>
      <c r="G18" s="41" t="s">
        <v>171</v>
      </c>
      <c r="H18" s="41" t="s">
        <v>173</v>
      </c>
      <c r="I18" s="42" t="s">
        <v>174</v>
      </c>
      <c r="J18" s="42" t="s">
        <v>175</v>
      </c>
      <c r="K18" s="41" t="s">
        <v>165</v>
      </c>
      <c r="L18" s="41" t="s">
        <v>166</v>
      </c>
      <c r="M18" s="41" t="s">
        <v>54</v>
      </c>
    </row>
    <row r="19" spans="1:13" ht="15" customHeight="1" x14ac:dyDescent="0.25">
      <c r="A19" s="20" t="s">
        <v>6</v>
      </c>
      <c r="B19" s="8"/>
      <c r="C19" s="8"/>
      <c r="D19" s="8"/>
      <c r="E19" s="8"/>
      <c r="F19" s="31">
        <f>VLOOKUP(C8,'3rd Term'!B9:AN48,2,FALSE)</f>
        <v>24</v>
      </c>
      <c r="G19" s="31">
        <f>VLOOKUP(C8,'3rd Term'!B9:AN48,3,FALSE)</f>
        <v>49</v>
      </c>
      <c r="H19" s="31">
        <f>SUM(F19:G19)</f>
        <v>73</v>
      </c>
      <c r="I19" s="5">
        <f>(VLOOKUP(C8,'2nd Term'!B9:AN48,2,FALSE))+(VLOOKUP(C8,'2nd Term'!B9:AN48,3,FALSE))</f>
        <v>83</v>
      </c>
      <c r="J19" s="31">
        <f>(VLOOKUP($C$8,'1st Term'!$B$9:$AN$48,2,FALSE))+(VLOOKUP($C$8,'1st Term'!$B$9:$AN$48,3,FALSE))</f>
        <v>78</v>
      </c>
      <c r="K19" s="31">
        <f>IF(SUM(H19:J19)=0,"-",SUM(H19:J19))</f>
        <v>234</v>
      </c>
      <c r="L19" s="26">
        <f t="shared" ref="L19:L37" si="0">IFERROR(((H19)+(I19)+(J19))/((--(H19&gt;0))+(--(I19&gt;0))+(--(J19&gt;0))),"-")</f>
        <v>78</v>
      </c>
      <c r="M19" s="31" t="str">
        <f>IF(L19="-","-",IF(L19&gt;=70,"A",IF(L19&gt;=50,"C",IF(L19&gt;=40,"P","F"))))</f>
        <v>A</v>
      </c>
    </row>
    <row r="20" spans="1:13" ht="15" customHeight="1" x14ac:dyDescent="0.25">
      <c r="A20" s="20" t="s">
        <v>3</v>
      </c>
      <c r="B20" s="8"/>
      <c r="C20" s="8"/>
      <c r="D20" s="8"/>
      <c r="E20" s="8"/>
      <c r="F20" s="1">
        <f>VLOOKUP(C8,'3rd Term'!B9:AN48,4,FALSE)</f>
        <v>22</v>
      </c>
      <c r="G20" s="31">
        <f>VLOOKUP(C8,'3rd Term'!B9:AN48,5,FALSE)</f>
        <v>46</v>
      </c>
      <c r="H20" s="31">
        <f t="shared" ref="H20:H37" si="1">SUM(F20:G20)</f>
        <v>68</v>
      </c>
      <c r="I20" s="31">
        <f>(VLOOKUP(C8,'2nd Term'!B9:AN48,4,FALSE))+(VLOOKUP(C8,'2nd Term'!B9:AN48,5,FALSE))</f>
        <v>93</v>
      </c>
      <c r="J20" s="31">
        <f>(VLOOKUP($C$8,'1st Term'!$B$9:$AN$48,4,FALSE))+(VLOOKUP($C$8,'1st Term'!$B$9:$AN$48,5,FALSE))</f>
        <v>78</v>
      </c>
      <c r="K20" s="31">
        <f t="shared" ref="K20:K37" si="2">IF(SUM(H20:J20)=0,"-",SUM(H20:J20))</f>
        <v>239</v>
      </c>
      <c r="L20" s="26">
        <f t="shared" si="0"/>
        <v>79.666666666666671</v>
      </c>
      <c r="M20" s="31" t="str">
        <f t="shared" ref="M20:M37" si="3">IF(L20="-","-",IF(L20&gt;=70,"A",IF(L20&gt;=50,"C",IF(L20&gt;=40,"P","F"))))</f>
        <v>A</v>
      </c>
    </row>
    <row r="21" spans="1:13" ht="15" customHeight="1" x14ac:dyDescent="0.25">
      <c r="A21" s="20" t="s">
        <v>4</v>
      </c>
      <c r="B21" s="8"/>
      <c r="C21" s="8"/>
      <c r="D21" s="8"/>
      <c r="E21" s="8"/>
      <c r="F21" s="1">
        <f>VLOOKUP(C8,'3rd Term'!B9:AN48,6,FALSE)</f>
        <v>22</v>
      </c>
      <c r="G21" s="31">
        <f>VLOOKUP(C8,'3rd Term'!B9:AN48,7,FALSE)</f>
        <v>42</v>
      </c>
      <c r="H21" s="31">
        <f t="shared" si="1"/>
        <v>64</v>
      </c>
      <c r="I21" s="31">
        <f>(VLOOKUP(C8,'2nd Term'!B9:AN48,6,FALSE))+(VLOOKUP(C8,'2nd Term'!B9:AN48,7,FALSE))</f>
        <v>87</v>
      </c>
      <c r="J21" s="31">
        <f>(VLOOKUP($C$8,'1st Term'!$B$9:$AN$48,6,FALSE))+(VLOOKUP($C$8,'1st Term'!$B$9:$AN$48,7,FALSE))</f>
        <v>50</v>
      </c>
      <c r="K21" s="31">
        <f t="shared" si="2"/>
        <v>201</v>
      </c>
      <c r="L21" s="26">
        <f t="shared" si="0"/>
        <v>67</v>
      </c>
      <c r="M21" s="31" t="str">
        <f t="shared" si="3"/>
        <v>C</v>
      </c>
    </row>
    <row r="22" spans="1:13" ht="15" customHeight="1" x14ac:dyDescent="0.25">
      <c r="A22" s="20" t="s">
        <v>5</v>
      </c>
      <c r="B22" s="8"/>
      <c r="C22" s="8"/>
      <c r="D22" s="8"/>
      <c r="E22" s="8"/>
      <c r="F22" s="1">
        <f>VLOOKUP(C8,'3rd Term'!B9:AN48,8,FALSE)</f>
        <v>24</v>
      </c>
      <c r="G22" s="31">
        <f>VLOOKUP(C8,'3rd Term'!B9:AN48,9,FALSE)</f>
        <v>41</v>
      </c>
      <c r="H22" s="31">
        <f t="shared" si="1"/>
        <v>65</v>
      </c>
      <c r="I22" s="31">
        <f>(VLOOKUP(C8,'2nd Term'!B9:AN48,8,FALSE))+(VLOOKUP(C8,'2nd Term'!B9:AN48,9,FALSE))</f>
        <v>58</v>
      </c>
      <c r="J22" s="31">
        <f>(VLOOKUP($C$8,'1st Term'!$B$9:$AN$48,8,FALSE))+(VLOOKUP($C$8,'1st Term'!$B$9:$AN$48,9,FALSE))</f>
        <v>54</v>
      </c>
      <c r="K22" s="31">
        <f t="shared" si="2"/>
        <v>177</v>
      </c>
      <c r="L22" s="26">
        <f t="shared" si="0"/>
        <v>59</v>
      </c>
      <c r="M22" s="31" t="str">
        <f t="shared" si="3"/>
        <v>C</v>
      </c>
    </row>
    <row r="23" spans="1:13" ht="15" customHeight="1" x14ac:dyDescent="0.25">
      <c r="A23" s="20" t="s">
        <v>7</v>
      </c>
      <c r="B23" s="8"/>
      <c r="C23" s="8"/>
      <c r="D23" s="8"/>
      <c r="E23" s="8"/>
      <c r="F23" s="1">
        <f>VLOOKUP(C8,'3rd Term'!B9:AN48,10,FALSE)</f>
        <v>18</v>
      </c>
      <c r="G23" s="31">
        <f>VLOOKUP(C8,'3rd Term'!B9:AN48,11,FALSE)</f>
        <v>37</v>
      </c>
      <c r="H23" s="31">
        <f t="shared" si="1"/>
        <v>55</v>
      </c>
      <c r="I23" s="31">
        <f>(VLOOKUP(C8,'2nd Term'!B9:AN48,10,FALSE))+(VLOOKUP(C8,'2nd Term'!B9:AN48,11,FALSE))</f>
        <v>74</v>
      </c>
      <c r="J23" s="31">
        <f>(VLOOKUP($C$8,'1st Term'!$B$9:$AN$48,10,FALSE))+(VLOOKUP($C$8,'1st Term'!$B$9:$AN$48,11,FALSE))</f>
        <v>67</v>
      </c>
      <c r="K23" s="31">
        <f t="shared" si="2"/>
        <v>196</v>
      </c>
      <c r="L23" s="26">
        <f t="shared" si="0"/>
        <v>65.333333333333329</v>
      </c>
      <c r="M23" s="31" t="str">
        <f t="shared" si="3"/>
        <v>C</v>
      </c>
    </row>
    <row r="24" spans="1:13" ht="15" customHeight="1" x14ac:dyDescent="0.25">
      <c r="A24" s="20" t="s">
        <v>8</v>
      </c>
      <c r="B24" s="8"/>
      <c r="C24" s="8"/>
      <c r="D24" s="8"/>
      <c r="E24" s="8"/>
      <c r="F24" s="1">
        <f>VLOOKUP(C8,'3rd Term'!B9:AN48,12,FALSE)</f>
        <v>26</v>
      </c>
      <c r="G24" s="31">
        <f>VLOOKUP(C8,'3rd Term'!B9:AN48,13,FALSE)</f>
        <v>47</v>
      </c>
      <c r="H24" s="31">
        <f t="shared" si="1"/>
        <v>73</v>
      </c>
      <c r="I24" s="31">
        <f>(VLOOKUP(C8,'2nd Term'!B9:AN48,12,FALSE))+(VLOOKUP(C8,'2nd Term'!B9:AN48,13,FALSE))</f>
        <v>62</v>
      </c>
      <c r="J24" s="31">
        <f>(VLOOKUP($C$8,'1st Term'!$B$9:$AN$48,12,FALSE))+(VLOOKUP($C$8,'1st Term'!$B$9:$AN$48,13,FALSE))</f>
        <v>76</v>
      </c>
      <c r="K24" s="31">
        <f t="shared" si="2"/>
        <v>211</v>
      </c>
      <c r="L24" s="26">
        <f t="shared" si="0"/>
        <v>70.333333333333329</v>
      </c>
      <c r="M24" s="31" t="str">
        <f t="shared" si="3"/>
        <v>A</v>
      </c>
    </row>
    <row r="25" spans="1:13" ht="15" customHeight="1" x14ac:dyDescent="0.25">
      <c r="A25" s="20" t="s">
        <v>9</v>
      </c>
      <c r="B25" s="8"/>
      <c r="C25" s="8"/>
      <c r="D25" s="8"/>
      <c r="E25" s="8"/>
      <c r="F25" s="1">
        <f>VLOOKUP(C8,'3rd Term'!B9:AN48,14,FALSE)</f>
        <v>29</v>
      </c>
      <c r="G25" s="31">
        <f>VLOOKUP(C8,'3rd Term'!B9:AN48,15,FALSE)</f>
        <v>39</v>
      </c>
      <c r="H25" s="31">
        <f t="shared" si="1"/>
        <v>68</v>
      </c>
      <c r="I25" s="31">
        <f>(VLOOKUP(C8,'2nd Term'!B9:AN48,14,FALSE))+(VLOOKUP(C8,'2nd Term'!B9:AN48,15,FALSE))</f>
        <v>61</v>
      </c>
      <c r="J25" s="31">
        <f>(VLOOKUP($C$8,'1st Term'!$B$9:$AN$48,14,FALSE))+(VLOOKUP($C$8,'1st Term'!$B$9:$AN$48,15,FALSE))</f>
        <v>59</v>
      </c>
      <c r="K25" s="31">
        <f t="shared" si="2"/>
        <v>188</v>
      </c>
      <c r="L25" s="26">
        <f t="shared" si="0"/>
        <v>62.666666666666664</v>
      </c>
      <c r="M25" s="31" t="str">
        <f t="shared" si="3"/>
        <v>C</v>
      </c>
    </row>
    <row r="26" spans="1:13" ht="15" customHeight="1" x14ac:dyDescent="0.25">
      <c r="A26" s="20" t="s">
        <v>10</v>
      </c>
      <c r="B26" s="8"/>
      <c r="C26" s="8"/>
      <c r="D26" s="8"/>
      <c r="E26" s="8"/>
      <c r="F26" s="1">
        <f>VLOOKUP(C8,'3rd Term'!B9:AN48,16,FALSE)</f>
        <v>15</v>
      </c>
      <c r="G26" s="31">
        <f>VLOOKUP(C8,'3rd Term'!B9:AN48,17,FALSE)</f>
        <v>61</v>
      </c>
      <c r="H26" s="31">
        <f t="shared" si="1"/>
        <v>76</v>
      </c>
      <c r="I26" s="31">
        <f>(VLOOKUP(C8,'2nd Term'!B9:AN48,16,FALSE))+(VLOOKUP(C8,'2nd Term'!B9:AN48,17,FALSE))</f>
        <v>80</v>
      </c>
      <c r="J26" s="31">
        <f>(VLOOKUP($C$8,'1st Term'!$B$9:$AN$48,16,FALSE))+(VLOOKUP($C$8,'1st Term'!$B$9:$AN$48,17,FALSE))</f>
        <v>53</v>
      </c>
      <c r="K26" s="31">
        <f t="shared" si="2"/>
        <v>209</v>
      </c>
      <c r="L26" s="26">
        <f t="shared" si="0"/>
        <v>69.666666666666671</v>
      </c>
      <c r="M26" s="31" t="str">
        <f t="shared" si="3"/>
        <v>C</v>
      </c>
    </row>
    <row r="27" spans="1:13" ht="15" hidden="1" customHeight="1" x14ac:dyDescent="0.25">
      <c r="A27" s="20" t="s">
        <v>11</v>
      </c>
      <c r="B27" s="8"/>
      <c r="C27" s="8"/>
      <c r="D27" s="8"/>
      <c r="E27" s="8"/>
      <c r="F27" s="1">
        <f>VLOOKUP(C8,'3rd Term'!B9:AN48,18,FALSE)</f>
        <v>0</v>
      </c>
      <c r="G27" s="31">
        <f>VLOOKUP(C8,'3rd Term'!B9:AN48,19,FALSE)</f>
        <v>0</v>
      </c>
      <c r="H27" s="31">
        <f t="shared" si="1"/>
        <v>0</v>
      </c>
      <c r="I27" s="31">
        <f>(VLOOKUP(C8,'2nd Term'!B9:AN48,18,FALSE))+(VLOOKUP(C8,'2nd Term'!B9:AN48,19,FALSE))</f>
        <v>0</v>
      </c>
      <c r="J27" s="31">
        <f>(VLOOKUP($C$8,'1st Term'!$B$9:$AN$48,18,FALSE))+(VLOOKUP($C$8,'1st Term'!$B$9:$AN$48,19,FALSE))</f>
        <v>0</v>
      </c>
      <c r="K27" s="31" t="str">
        <f t="shared" si="2"/>
        <v>-</v>
      </c>
      <c r="L27" s="26" t="str">
        <f t="shared" si="0"/>
        <v>-</v>
      </c>
      <c r="M27" s="31" t="str">
        <f t="shared" si="3"/>
        <v>-</v>
      </c>
    </row>
    <row r="28" spans="1:13" ht="15" customHeight="1" x14ac:dyDescent="0.25">
      <c r="A28" s="20" t="s">
        <v>13</v>
      </c>
      <c r="B28" s="8"/>
      <c r="C28" s="8"/>
      <c r="D28" s="8"/>
      <c r="E28" s="8"/>
      <c r="F28" s="1">
        <f>VLOOKUP(C8,'3rd Term'!B9:AN48,20,FALSE)</f>
        <v>18</v>
      </c>
      <c r="G28" s="31">
        <f>VLOOKUP(C8,'3rd Term'!B9:AN48,21,FALSE)</f>
        <v>56</v>
      </c>
      <c r="H28" s="31">
        <f t="shared" si="1"/>
        <v>74</v>
      </c>
      <c r="I28" s="31">
        <f>(VLOOKUP(C8,'2nd Term'!B9:AN48,20,FALSE))+(VLOOKUP(C8,'2nd Term'!B9:AN48,21,FALSE))</f>
        <v>80</v>
      </c>
      <c r="J28" s="31">
        <f>(VLOOKUP($C$8,'1st Term'!$B$9:$AN$48,20,FALSE))+(VLOOKUP($C$8,'1st Term'!$B$9:$AN$48,21,FALSE))</f>
        <v>54</v>
      </c>
      <c r="K28" s="31">
        <f t="shared" si="2"/>
        <v>208</v>
      </c>
      <c r="L28" s="26">
        <f t="shared" si="0"/>
        <v>69.333333333333329</v>
      </c>
      <c r="M28" s="31" t="str">
        <f t="shared" si="3"/>
        <v>C</v>
      </c>
    </row>
    <row r="29" spans="1:13" x14ac:dyDescent="0.25">
      <c r="A29" s="20" t="s">
        <v>14</v>
      </c>
      <c r="B29" s="8"/>
      <c r="C29" s="8"/>
      <c r="D29" s="8"/>
      <c r="E29" s="8"/>
      <c r="F29" s="1">
        <f>VLOOKUP(C8,'3rd Term'!B9:AN48,22,FALSE)</f>
        <v>26</v>
      </c>
      <c r="G29" s="31">
        <f>VLOOKUP(C8,'3rd Term'!B9:AN48,23,FALSE)</f>
        <v>58</v>
      </c>
      <c r="H29" s="31">
        <f t="shared" si="1"/>
        <v>84</v>
      </c>
      <c r="I29" s="31">
        <f>(VLOOKUP(C8,'2nd Term'!B9:AN48,22,FALSE))+(VLOOKUP(C8,'2nd Term'!B9:AN48,23,FALSE))</f>
        <v>73</v>
      </c>
      <c r="J29" s="31">
        <f>(VLOOKUP($C$8,'1st Term'!$B$9:$AN$48,22,FALSE))+(VLOOKUP($C$8,'1st Term'!$B$9:$AN$48,23,FALSE))</f>
        <v>62</v>
      </c>
      <c r="K29" s="31">
        <f t="shared" si="2"/>
        <v>219</v>
      </c>
      <c r="L29" s="26">
        <f t="shared" si="0"/>
        <v>73</v>
      </c>
      <c r="M29" s="31" t="str">
        <f t="shared" si="3"/>
        <v>A</v>
      </c>
    </row>
    <row r="30" spans="1:13" x14ac:dyDescent="0.25">
      <c r="A30" s="20" t="s">
        <v>15</v>
      </c>
      <c r="B30" s="8"/>
      <c r="C30" s="8"/>
      <c r="D30" s="8"/>
      <c r="E30" s="8"/>
      <c r="F30" s="1">
        <f>VLOOKUP(C8,'3rd Term'!B9:AN48,24,FALSE)</f>
        <v>28</v>
      </c>
      <c r="G30" s="31">
        <f>VLOOKUP(C8,'3rd Term'!B9:AN48,25,FALSE)</f>
        <v>34</v>
      </c>
      <c r="H30" s="31">
        <f t="shared" si="1"/>
        <v>62</v>
      </c>
      <c r="I30" s="31">
        <f>(VLOOKUP(C8,'2nd Term'!B9:AN48,24,FALSE))+(VLOOKUP(C8,'2nd Term'!B9:AN48,25,FALSE))</f>
        <v>58</v>
      </c>
      <c r="J30" s="31">
        <f>(VLOOKUP($C$8,'1st Term'!$B$9:$AN$48,24,FALSE))+(VLOOKUP($C$8,'1st Term'!$B$9:$AN$48,25,FALSE))</f>
        <v>53</v>
      </c>
      <c r="K30" s="31">
        <f t="shared" si="2"/>
        <v>173</v>
      </c>
      <c r="L30" s="26">
        <f t="shared" si="0"/>
        <v>57.666666666666664</v>
      </c>
      <c r="M30" s="31" t="str">
        <f t="shared" si="3"/>
        <v>C</v>
      </c>
    </row>
    <row r="31" spans="1:13" hidden="1" x14ac:dyDescent="0.25">
      <c r="A31" s="20" t="s">
        <v>22</v>
      </c>
      <c r="B31" s="8"/>
      <c r="C31" s="8"/>
      <c r="D31" s="8"/>
      <c r="E31" s="8"/>
      <c r="F31" s="1">
        <f>VLOOKUP(C8,'3rd Term'!B9:AN48,26,FALSE)</f>
        <v>0</v>
      </c>
      <c r="G31" s="31">
        <f>VLOOKUP(C8,'3rd Term'!B9:AN48,27,FALSE)</f>
        <v>0</v>
      </c>
      <c r="H31" s="31">
        <f t="shared" si="1"/>
        <v>0</v>
      </c>
      <c r="I31" s="31">
        <f>(VLOOKUP(C8,'2nd Term'!B9:AN48,26,FALSE))+(VLOOKUP(C8,'2nd Term'!B9:AN48,27,FALSE))</f>
        <v>0</v>
      </c>
      <c r="J31" s="31">
        <f>(VLOOKUP($C$8,'1st Term'!$B$9:$AN$48,26,FALSE))+(VLOOKUP($C$8,'1st Term'!$B$9:$AN$48,27,FALSE))</f>
        <v>0</v>
      </c>
      <c r="K31" s="31" t="str">
        <f t="shared" si="2"/>
        <v>-</v>
      </c>
      <c r="L31" s="26" t="str">
        <f t="shared" si="0"/>
        <v>-</v>
      </c>
      <c r="M31" s="31" t="str">
        <f t="shared" si="3"/>
        <v>-</v>
      </c>
    </row>
    <row r="32" spans="1:13" x14ac:dyDescent="0.25">
      <c r="A32" s="20" t="s">
        <v>16</v>
      </c>
      <c r="B32" s="8"/>
      <c r="C32" s="8"/>
      <c r="D32" s="8"/>
      <c r="E32" s="8"/>
      <c r="F32" s="1">
        <f>VLOOKUP(C8,'3rd Term'!B9:AN48,28,FALSE)</f>
        <v>21</v>
      </c>
      <c r="G32" s="31">
        <f>VLOOKUP(C8,'3rd Term'!B9:AN48,29,FALSE)</f>
        <v>17</v>
      </c>
      <c r="H32" s="31">
        <f t="shared" si="1"/>
        <v>38</v>
      </c>
      <c r="I32" s="31">
        <f>(VLOOKUP(C8,'2nd Term'!B9:AN48,28,FALSE))+(VLOOKUP(C8,'2nd Term'!B9:AN48,29,FALSE))</f>
        <v>70</v>
      </c>
      <c r="J32" s="31">
        <f>(VLOOKUP($C$8,'1st Term'!$B$9:$AN$48,28,FALSE))+(VLOOKUP($C$8,'1st Term'!$B$9:$AN$48,29,FALSE))</f>
        <v>57</v>
      </c>
      <c r="K32" s="31">
        <f t="shared" si="2"/>
        <v>165</v>
      </c>
      <c r="L32" s="26">
        <f t="shared" si="0"/>
        <v>55</v>
      </c>
      <c r="M32" s="31" t="str">
        <f t="shared" si="3"/>
        <v>C</v>
      </c>
    </row>
    <row r="33" spans="1:13" x14ac:dyDescent="0.25">
      <c r="A33" s="20" t="s">
        <v>17</v>
      </c>
      <c r="B33" s="8"/>
      <c r="C33" s="8"/>
      <c r="D33" s="8"/>
      <c r="E33" s="8"/>
      <c r="F33" s="1">
        <f>VLOOKUP(C8,'3rd Term'!B9:AN48,30,FALSE)</f>
        <v>30</v>
      </c>
      <c r="G33" s="31">
        <f>VLOOKUP(C8,'3rd Term'!B9:AN48,31,FALSE)</f>
        <v>36</v>
      </c>
      <c r="H33" s="31">
        <f t="shared" si="1"/>
        <v>66</v>
      </c>
      <c r="I33" s="31">
        <f>(VLOOKUP(C8,'2nd Term'!B9:AN48,30,FALSE))+(VLOOKUP(C8,'2nd Term'!B9:AN48,31,FALSE))</f>
        <v>75</v>
      </c>
      <c r="J33" s="31">
        <f>(VLOOKUP($C$8,'1st Term'!$B$9:$AN$48,30,FALSE))+(VLOOKUP($C$8,'1st Term'!$B$9:$AN$48,31,FALSE))</f>
        <v>48</v>
      </c>
      <c r="K33" s="31">
        <f t="shared" si="2"/>
        <v>189</v>
      </c>
      <c r="L33" s="26">
        <f t="shared" si="0"/>
        <v>63</v>
      </c>
      <c r="M33" s="31" t="str">
        <f t="shared" si="3"/>
        <v>C</v>
      </c>
    </row>
    <row r="34" spans="1:13" x14ac:dyDescent="0.25">
      <c r="A34" s="20" t="s">
        <v>18</v>
      </c>
      <c r="B34" s="8"/>
      <c r="C34" s="8"/>
      <c r="D34" s="8"/>
      <c r="E34" s="8"/>
      <c r="F34" s="1">
        <f>VLOOKUP(C8,'3rd Term'!B9:AN48,32,FALSE)</f>
        <v>24</v>
      </c>
      <c r="G34" s="31">
        <f>VLOOKUP(C8,'3rd Term'!B9:AN48,33,FALSE)</f>
        <v>43</v>
      </c>
      <c r="H34" s="31">
        <f t="shared" si="1"/>
        <v>67</v>
      </c>
      <c r="I34" s="31">
        <f>(VLOOKUP(C8,'2nd Term'!B9:AN48,32,FALSE))+(VLOOKUP(C8,'2nd Term'!B9:AN48,33,FALSE))</f>
        <v>71</v>
      </c>
      <c r="J34" s="31">
        <f>(VLOOKUP($C$8,'1st Term'!$B$9:$AN$48,32,FALSE))+(VLOOKUP($C$8,'1st Term'!$B$9:$AN$48,33,FALSE))</f>
        <v>66</v>
      </c>
      <c r="K34" s="31">
        <f t="shared" si="2"/>
        <v>204</v>
      </c>
      <c r="L34" s="26">
        <f t="shared" si="0"/>
        <v>68</v>
      </c>
      <c r="M34" s="31" t="str">
        <f t="shared" si="3"/>
        <v>C</v>
      </c>
    </row>
    <row r="35" spans="1:13" x14ac:dyDescent="0.25">
      <c r="A35" s="20" t="s">
        <v>19</v>
      </c>
      <c r="B35" s="8"/>
      <c r="C35" s="8"/>
      <c r="D35" s="8"/>
      <c r="E35" s="8"/>
      <c r="F35" s="1">
        <f>VLOOKUP(C8,'3rd Term'!B9:AN48,34,FALSE)</f>
        <v>17</v>
      </c>
      <c r="G35" s="31">
        <f>VLOOKUP(C8,'3rd Term'!B9:AN48,35,FALSE)</f>
        <v>40</v>
      </c>
      <c r="H35" s="31">
        <f t="shared" si="1"/>
        <v>57</v>
      </c>
      <c r="I35" s="31">
        <f>(VLOOKUP(C8,'2nd Term'!B9:AN48,34,FALSE))+(VLOOKUP(C8,'2nd Term'!B9:AN48,35,FALSE))</f>
        <v>76</v>
      </c>
      <c r="J35" s="31">
        <f>(VLOOKUP($C$8,'1st Term'!$B$9:$AN$48,34,FALSE))+(VLOOKUP($C$8,'1st Term'!$B$9:$AN$48,35,FALSE))</f>
        <v>44</v>
      </c>
      <c r="K35" s="31">
        <f t="shared" si="2"/>
        <v>177</v>
      </c>
      <c r="L35" s="26">
        <f t="shared" si="0"/>
        <v>59</v>
      </c>
      <c r="M35" s="31" t="str">
        <f t="shared" si="3"/>
        <v>C</v>
      </c>
    </row>
    <row r="36" spans="1:13" x14ac:dyDescent="0.25">
      <c r="A36" s="20" t="s">
        <v>20</v>
      </c>
      <c r="B36" s="8"/>
      <c r="C36" s="8"/>
      <c r="D36" s="8"/>
      <c r="E36" s="8"/>
      <c r="F36" s="1">
        <f>VLOOKUP(C8,'3rd Term'!B9:AN48,36,FALSE)</f>
        <v>26</v>
      </c>
      <c r="G36" s="31">
        <f>VLOOKUP(C8,'3rd Term'!B9:AN48,37,FALSE)</f>
        <v>56</v>
      </c>
      <c r="H36" s="31">
        <f t="shared" si="1"/>
        <v>82</v>
      </c>
      <c r="I36" s="31">
        <f>(VLOOKUP(C8,'2nd Term'!B9:AN48,36,FALSE))+(VLOOKUP(C8,'2nd Term'!B9:AN48,37,FALSE))</f>
        <v>82</v>
      </c>
      <c r="J36" s="31">
        <f>(VLOOKUP($C$8,'1st Term'!$B$9:$AN$48,36,FALSE))+(VLOOKUP($C$8,'1st Term'!$B$9:$AN$48,37,FALSE))</f>
        <v>61</v>
      </c>
      <c r="K36" s="31">
        <f t="shared" si="2"/>
        <v>225</v>
      </c>
      <c r="L36" s="26">
        <f t="shared" si="0"/>
        <v>75</v>
      </c>
      <c r="M36" s="31" t="str">
        <f t="shared" si="3"/>
        <v>A</v>
      </c>
    </row>
    <row r="37" spans="1:13" x14ac:dyDescent="0.25">
      <c r="A37" s="18" t="s">
        <v>21</v>
      </c>
      <c r="B37" s="7"/>
      <c r="C37" s="7"/>
      <c r="D37" s="7"/>
      <c r="E37" s="7"/>
      <c r="F37" s="57">
        <f>VLOOKUP(C8,'3rd Term'!B9:AN48,38,FALSE)</f>
        <v>17</v>
      </c>
      <c r="G37" s="31">
        <f>VLOOKUP(C8,'3rd Term'!B9:AN48,39,FALSE)</f>
        <v>33</v>
      </c>
      <c r="H37" s="31">
        <f t="shared" si="1"/>
        <v>50</v>
      </c>
      <c r="I37" s="31">
        <f>(VLOOKUP(C8,'2nd Term'!B9:AN48,38,FALSE))+(VLOOKUP(C8,'2nd Term'!B9:AN48,39,FALSE))</f>
        <v>74</v>
      </c>
      <c r="J37" s="31">
        <f>(VLOOKUP($C$8,'1st Term'!$B$9:$AN$48,38,FALSE))+(VLOOKUP($C$8,'1st Term'!$B$9:$AN$48,39,FALSE))</f>
        <v>45</v>
      </c>
      <c r="K37" s="31">
        <f t="shared" si="2"/>
        <v>169</v>
      </c>
      <c r="L37" s="26">
        <f t="shared" si="0"/>
        <v>56.333333333333336</v>
      </c>
      <c r="M37" s="31" t="str">
        <f t="shared" si="3"/>
        <v>C</v>
      </c>
    </row>
    <row r="43" spans="1:13" x14ac:dyDescent="0.25">
      <c r="G43" s="110" t="s">
        <v>62</v>
      </c>
      <c r="H43" s="110"/>
      <c r="I43" s="110"/>
      <c r="J43" s="110"/>
      <c r="K43" s="110"/>
      <c r="L43" s="110"/>
      <c r="M43" s="110"/>
    </row>
    <row r="44" spans="1:13" x14ac:dyDescent="0.25">
      <c r="A44" s="77" t="s">
        <v>58</v>
      </c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</row>
    <row r="45" spans="1:13" ht="12.75" customHeight="1" x14ac:dyDescent="0.25">
      <c r="A45" s="50" t="str">
        <f>VLOOKUP(C8,comments!B8:X47,7,0)</f>
        <v>She is improving gradually but needs to participate more in class discussions.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</row>
    <row r="46" spans="1:13" x14ac:dyDescent="0.25">
      <c r="A46" s="50"/>
      <c r="B46" s="50"/>
      <c r="C46" s="50"/>
      <c r="D46" s="50"/>
      <c r="E46" s="50"/>
      <c r="F46" s="78"/>
      <c r="G46" s="78"/>
      <c r="H46" s="78"/>
      <c r="I46" s="78"/>
      <c r="J46" s="78"/>
      <c r="K46" s="78"/>
      <c r="L46" s="78"/>
      <c r="M46" s="78"/>
    </row>
    <row r="47" spans="1:13" x14ac:dyDescent="0.25">
      <c r="A47" s="79" t="s">
        <v>60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</row>
    <row r="48" spans="1:13" ht="12" customHeight="1" x14ac:dyDescent="0.25">
      <c r="A48" s="50" t="str">
        <f>VLOOKUP(C8,comments!B8:X47,14,0)</f>
        <v>Just fair. You can improve if only you will be more regular at school next term. Promoted to the Next Class.</v>
      </c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</row>
    <row r="49" spans="1:13" x14ac:dyDescent="0.25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</row>
    <row r="50" spans="1:13" x14ac:dyDescent="0.25">
      <c r="A50" s="79" t="s">
        <v>59</v>
      </c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</row>
    <row r="51" spans="1:13" ht="12" customHeight="1" x14ac:dyDescent="0.25">
      <c r="A51" s="78" t="s">
        <v>61</v>
      </c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</row>
  </sheetData>
  <sheetProtection algorithmName="SHA-512" hashValue="onaLu++Ds6dRa7fC3ao0fu12blqHlXAPp9XiBdNaS3GnQYE5i4jaZsip5WYsDF+ZMzGzLu8Jz2iKMeCmPsYYbg==" saltValue="RGCAMwd9oGnUef8BC/7p8g==" spinCount="100000" sheet="1" scenarios="1"/>
  <mergeCells count="13">
    <mergeCell ref="I14:I17"/>
    <mergeCell ref="A18:B18"/>
    <mergeCell ref="G43:M43"/>
    <mergeCell ref="B1:M2"/>
    <mergeCell ref="B3:M3"/>
    <mergeCell ref="B4:M4"/>
    <mergeCell ref="B5:M6"/>
    <mergeCell ref="K7:M12"/>
    <mergeCell ref="A8:B8"/>
    <mergeCell ref="A9:B9"/>
    <mergeCell ref="A10:B10"/>
    <mergeCell ref="A11:B11"/>
    <mergeCell ref="A12:B12"/>
  </mergeCells>
  <conditionalFormatting sqref="M19:M37">
    <cfRule type="cellIs" dxfId="94" priority="3" operator="equal">
      <formula>"F"</formula>
    </cfRule>
    <cfRule type="cellIs" dxfId="93" priority="4" operator="equal">
      <formula>"P"</formula>
    </cfRule>
    <cfRule type="cellIs" dxfId="92" priority="5" operator="equal">
      <formula>"C"</formula>
    </cfRule>
    <cfRule type="cellIs" dxfId="91" priority="6" operator="equal">
      <formula>"A"</formula>
    </cfRule>
  </conditionalFormatting>
  <conditionalFormatting sqref="F19:J37">
    <cfRule type="cellIs" dxfId="90" priority="1" operator="equal">
      <formula>0</formula>
    </cfRule>
    <cfRule type="colorScale" priority="2">
      <colorScale>
        <cfvo type="min"/>
        <cfvo type="num" val="0"/>
        <color rgb="FFFF7128"/>
        <color theme="0"/>
      </colorScale>
    </cfRule>
  </conditionalFormatting>
  <dataValidations count="1">
    <dataValidation type="list" allowBlank="1" showInputMessage="1" showErrorMessage="1" sqref="M14:M17" xr:uid="{3D149A7F-691F-4783-97E7-D3614F6BE944}">
      <formula1>"A,B,C,D,E"</formula1>
    </dataValidation>
  </dataValidations>
  <printOptions horizontalCentered="1"/>
  <pageMargins left="0.2" right="0.2" top="0.25" bottom="0.25" header="0.3" footer="0.3"/>
  <pageSetup paperSize="9" fitToWidth="0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C0A12-DD04-48AF-884F-17F13C00154D}">
  <sheetPr>
    <tabColor rgb="FF7030A0"/>
  </sheetPr>
  <dimension ref="A1:M51"/>
  <sheetViews>
    <sheetView topLeftCell="A30" workbookViewId="0">
      <selection activeCell="O43" sqref="O43"/>
    </sheetView>
  </sheetViews>
  <sheetFormatPr defaultRowHeight="15" x14ac:dyDescent="0.25"/>
  <cols>
    <col min="3" max="3" width="8.140625" customWidth="1"/>
    <col min="4" max="4" width="9.42578125" customWidth="1"/>
    <col min="5" max="5" width="10.5703125" customWidth="1"/>
    <col min="6" max="6" width="6.28515625" customWidth="1"/>
    <col min="7" max="8" width="5.85546875" customWidth="1"/>
    <col min="9" max="9" width="5.5703125" customWidth="1"/>
    <col min="10" max="11" width="5.28515625" customWidth="1"/>
    <col min="12" max="12" width="6.28515625" customWidth="1"/>
    <col min="13" max="13" width="5.7109375" customWidth="1"/>
  </cols>
  <sheetData>
    <row r="1" spans="1:13" ht="15" customHeight="1" x14ac:dyDescent="0.25">
      <c r="A1" s="10"/>
      <c r="B1" s="116" t="s">
        <v>185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</row>
    <row r="2" spans="1:13" ht="15" customHeight="1" x14ac:dyDescent="0.25">
      <c r="A2" s="10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</row>
    <row r="3" spans="1:13" ht="15.75" x14ac:dyDescent="0.25">
      <c r="A3" s="10"/>
      <c r="B3" s="117" t="s">
        <v>184</v>
      </c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</row>
    <row r="4" spans="1:13" ht="15.75" x14ac:dyDescent="0.25">
      <c r="A4" s="10"/>
      <c r="B4" s="118" t="s">
        <v>186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</row>
    <row r="5" spans="1:13" ht="15" customHeight="1" x14ac:dyDescent="0.25">
      <c r="A5" s="10"/>
      <c r="B5" s="119" t="s">
        <v>36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</row>
    <row r="6" spans="1:13" ht="15" customHeight="1" x14ac:dyDescent="0.25">
      <c r="A6" s="10"/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</row>
    <row r="7" spans="1:13" ht="15" customHeight="1" x14ac:dyDescent="0.25">
      <c r="I7" s="10"/>
      <c r="J7" s="10"/>
      <c r="K7" s="122" t="s">
        <v>105</v>
      </c>
      <c r="L7" s="122"/>
      <c r="M7" s="122"/>
    </row>
    <row r="8" spans="1:13" x14ac:dyDescent="0.25">
      <c r="A8" s="120" t="s">
        <v>37</v>
      </c>
      <c r="B8" s="120"/>
      <c r="C8" s="29" t="str">
        <f>('1st Term'!B13)</f>
        <v>BANKOLE AMEERAT</v>
      </c>
      <c r="D8" s="8"/>
      <c r="E8" s="8"/>
      <c r="F8" s="8"/>
      <c r="G8" s="8"/>
      <c r="H8" s="9"/>
      <c r="I8" s="10"/>
      <c r="J8" s="10"/>
      <c r="K8" s="122"/>
      <c r="L8" s="122"/>
      <c r="M8" s="122"/>
    </row>
    <row r="9" spans="1:13" x14ac:dyDescent="0.25">
      <c r="A9" s="121" t="s">
        <v>38</v>
      </c>
      <c r="B9" s="115"/>
      <c r="C9" s="29" t="str">
        <f>('1st Term'!B7)</f>
        <v>JSS 1A</v>
      </c>
      <c r="D9" s="8"/>
      <c r="E9" s="8"/>
      <c r="F9" s="8"/>
      <c r="G9" s="8"/>
      <c r="H9" s="9"/>
      <c r="I9" s="10"/>
      <c r="J9" s="10"/>
      <c r="K9" s="122"/>
      <c r="L9" s="122"/>
      <c r="M9" s="122"/>
    </row>
    <row r="10" spans="1:13" x14ac:dyDescent="0.25">
      <c r="A10" s="121" t="s">
        <v>39</v>
      </c>
      <c r="B10" s="115"/>
      <c r="C10" s="29" t="str">
        <f>(comments!C4)</f>
        <v>2025/2026</v>
      </c>
      <c r="D10" s="8"/>
      <c r="E10" s="8"/>
      <c r="F10" s="43"/>
      <c r="G10" s="43"/>
      <c r="H10" s="9"/>
      <c r="I10" s="10"/>
      <c r="J10" s="10"/>
      <c r="K10" s="122"/>
      <c r="L10" s="122"/>
      <c r="M10" s="122"/>
    </row>
    <row r="11" spans="1:13" x14ac:dyDescent="0.25">
      <c r="A11" s="121" t="s">
        <v>40</v>
      </c>
      <c r="B11" s="115"/>
      <c r="C11" s="30" t="str">
        <f>(comments!B5)</f>
        <v>THIRD TERM</v>
      </c>
      <c r="D11" s="7"/>
      <c r="E11" s="7"/>
      <c r="F11" s="13" t="s">
        <v>167</v>
      </c>
      <c r="G11" s="8"/>
      <c r="H11" s="53">
        <f>INDEX(comments!D8:D47,MATCH(sheet5!C8,comments!B8:B47,0))</f>
        <v>71.352941176470594</v>
      </c>
      <c r="I11" s="10"/>
      <c r="J11" s="10"/>
      <c r="K11" s="122"/>
      <c r="L11" s="122"/>
      <c r="M11" s="122"/>
    </row>
    <row r="12" spans="1:13" x14ac:dyDescent="0.25">
      <c r="A12" s="114" t="s">
        <v>41</v>
      </c>
      <c r="B12" s="115"/>
      <c r="C12" s="30" t="str">
        <f>(comments!E6)</f>
        <v>20TH APRIL 2026</v>
      </c>
      <c r="D12" s="7"/>
      <c r="E12" s="7"/>
      <c r="F12" s="13" t="s">
        <v>44</v>
      </c>
      <c r="G12" s="8"/>
      <c r="H12" s="51" t="str">
        <f>INDEX(comments!E8:E47,MATCH(sheet5!C8,comments!B8:B47,0))</f>
        <v>1st</v>
      </c>
      <c r="I12" s="10"/>
      <c r="J12" s="10"/>
      <c r="K12" s="123"/>
      <c r="L12" s="123"/>
      <c r="M12" s="123"/>
    </row>
    <row r="13" spans="1:13" x14ac:dyDescent="0.25">
      <c r="A13" s="48"/>
      <c r="B13" s="49"/>
      <c r="C13" s="50"/>
      <c r="F13" s="25"/>
      <c r="H13" s="52"/>
      <c r="I13" s="10"/>
      <c r="J13" s="10"/>
      <c r="K13" s="54"/>
      <c r="L13" s="54"/>
      <c r="M13" s="54"/>
    </row>
    <row r="14" spans="1:13" ht="16.5" customHeight="1" x14ac:dyDescent="0.25">
      <c r="A14" s="16" t="s">
        <v>48</v>
      </c>
      <c r="B14" s="8"/>
      <c r="C14" s="8"/>
      <c r="D14" s="13" t="s">
        <v>49</v>
      </c>
      <c r="E14" s="8"/>
      <c r="F14" s="8"/>
      <c r="G14" s="8"/>
      <c r="H14" s="15"/>
      <c r="I14" s="113" t="s">
        <v>50</v>
      </c>
      <c r="J14" s="45" t="s">
        <v>32</v>
      </c>
      <c r="K14" s="44"/>
      <c r="L14" s="17"/>
      <c r="M14" s="44" t="s">
        <v>52</v>
      </c>
    </row>
    <row r="15" spans="1:13" ht="21" customHeight="1" x14ac:dyDescent="0.25">
      <c r="A15" s="11" t="s">
        <v>46</v>
      </c>
      <c r="B15" s="7"/>
      <c r="C15" s="7"/>
      <c r="D15" s="55">
        <f>(comments!C6)</f>
        <v>110</v>
      </c>
      <c r="E15" s="8"/>
      <c r="F15" s="8"/>
      <c r="G15" s="8"/>
      <c r="H15" s="14"/>
      <c r="I15" s="113"/>
      <c r="J15" s="45" t="s">
        <v>33</v>
      </c>
      <c r="K15" s="44"/>
      <c r="L15" s="17"/>
      <c r="M15" s="44" t="s">
        <v>51</v>
      </c>
    </row>
    <row r="16" spans="1:13" ht="18.75" customHeight="1" x14ac:dyDescent="0.25">
      <c r="A16" s="12" t="s">
        <v>47</v>
      </c>
      <c r="B16" s="8"/>
      <c r="C16" s="8"/>
      <c r="D16" s="56">
        <f>VLOOKUP(C8,comments!B8:C47,2,FALSE)</f>
        <v>0</v>
      </c>
      <c r="E16" s="8"/>
      <c r="F16" s="8"/>
      <c r="G16" s="8"/>
      <c r="H16" s="14"/>
      <c r="I16" s="113"/>
      <c r="J16" s="45" t="s">
        <v>34</v>
      </c>
      <c r="K16" s="44"/>
      <c r="L16" s="17"/>
      <c r="M16" s="44" t="s">
        <v>51</v>
      </c>
    </row>
    <row r="17" spans="1:13" ht="17.25" customHeight="1" x14ac:dyDescent="0.25">
      <c r="A17" s="11" t="s">
        <v>45</v>
      </c>
      <c r="B17" s="7"/>
      <c r="C17" s="7"/>
      <c r="D17" s="56">
        <f>(comments!D6)</f>
        <v>22</v>
      </c>
      <c r="E17" s="8"/>
      <c r="F17" s="8"/>
      <c r="G17" s="8"/>
      <c r="H17" s="14"/>
      <c r="I17" s="113"/>
      <c r="J17" s="47" t="s">
        <v>35</v>
      </c>
      <c r="K17" s="46"/>
      <c r="L17" s="40"/>
      <c r="M17" s="44" t="s">
        <v>52</v>
      </c>
    </row>
    <row r="18" spans="1:13" ht="61.5" customHeight="1" x14ac:dyDescent="0.25">
      <c r="A18" s="111" t="s">
        <v>53</v>
      </c>
      <c r="B18" s="112"/>
      <c r="C18" s="19"/>
      <c r="D18" s="19"/>
      <c r="E18" s="19"/>
      <c r="F18" s="41" t="s">
        <v>172</v>
      </c>
      <c r="G18" s="41" t="s">
        <v>171</v>
      </c>
      <c r="H18" s="41" t="s">
        <v>173</v>
      </c>
      <c r="I18" s="42" t="s">
        <v>174</v>
      </c>
      <c r="J18" s="42" t="s">
        <v>175</v>
      </c>
      <c r="K18" s="41" t="s">
        <v>165</v>
      </c>
      <c r="L18" s="41" t="s">
        <v>166</v>
      </c>
      <c r="M18" s="41" t="s">
        <v>54</v>
      </c>
    </row>
    <row r="19" spans="1:13" ht="15" customHeight="1" x14ac:dyDescent="0.25">
      <c r="A19" s="20" t="s">
        <v>6</v>
      </c>
      <c r="B19" s="8"/>
      <c r="C19" s="8"/>
      <c r="D19" s="8"/>
      <c r="E19" s="8"/>
      <c r="F19" s="31">
        <f>VLOOKUP(C8,'3rd Term'!B9:AN48,2,FALSE)</f>
        <v>21</v>
      </c>
      <c r="G19" s="31">
        <f>VLOOKUP(C8,'3rd Term'!B9:AN48,3,FALSE)</f>
        <v>64</v>
      </c>
      <c r="H19" s="31">
        <f>SUM(F19:G19)</f>
        <v>85</v>
      </c>
      <c r="I19" s="5">
        <f>(VLOOKUP(C8,'2nd Term'!B9:AN48,2,FALSE))+(VLOOKUP(C8,'2nd Term'!B9:AN48,3,FALSE))</f>
        <v>98</v>
      </c>
      <c r="J19" s="31">
        <f>(VLOOKUP($C$8,'1st Term'!$B$9:$AN$48,2,FALSE))+(VLOOKUP($C$8,'1st Term'!$B$9:$AN$48,3,FALSE))</f>
        <v>96</v>
      </c>
      <c r="K19" s="31">
        <f>IF(SUM(H19:J19)=0,"-",SUM(H19:J19))</f>
        <v>279</v>
      </c>
      <c r="L19" s="26">
        <f t="shared" ref="L19:L37" si="0">IFERROR(((H19)+(I19)+(J19))/((--(H19&gt;0))+(--(I19&gt;0))+(--(J19&gt;0))),"-")</f>
        <v>93</v>
      </c>
      <c r="M19" s="31" t="str">
        <f>IF(L19="-","-",IF(L19&gt;=70,"A",IF(L19&gt;=50,"C",IF(L19&gt;=40,"P","F"))))</f>
        <v>A</v>
      </c>
    </row>
    <row r="20" spans="1:13" ht="15" customHeight="1" x14ac:dyDescent="0.25">
      <c r="A20" s="20" t="s">
        <v>3</v>
      </c>
      <c r="B20" s="8"/>
      <c r="C20" s="8"/>
      <c r="D20" s="8"/>
      <c r="E20" s="8"/>
      <c r="F20" s="1">
        <f>VLOOKUP(C8,'3rd Term'!B9:AN48,4,FALSE)</f>
        <v>24</v>
      </c>
      <c r="G20" s="31">
        <f>VLOOKUP(C8,'3rd Term'!B9:AN48,5,FALSE)</f>
        <v>44</v>
      </c>
      <c r="H20" s="31">
        <f t="shared" ref="H20:H37" si="1">SUM(F20:G20)</f>
        <v>68</v>
      </c>
      <c r="I20" s="31">
        <f>(VLOOKUP(C8,'2nd Term'!B9:AN48,4,FALSE))+(VLOOKUP(C8,'2nd Term'!B9:AN48,5,FALSE))</f>
        <v>95</v>
      </c>
      <c r="J20" s="31">
        <f>(VLOOKUP($C$8,'1st Term'!$B$9:$AN$48,4,FALSE))+(VLOOKUP($C$8,'1st Term'!$B$9:$AN$48,5,FALSE))</f>
        <v>94</v>
      </c>
      <c r="K20" s="31">
        <f t="shared" ref="K20:K37" si="2">IF(SUM(H20:J20)=0,"-",SUM(H20:J20))</f>
        <v>257</v>
      </c>
      <c r="L20" s="26">
        <f t="shared" si="0"/>
        <v>85.666666666666671</v>
      </c>
      <c r="M20" s="31" t="str">
        <f t="shared" ref="M20:M37" si="3">IF(L20="-","-",IF(L20&gt;=70,"A",IF(L20&gt;=50,"C",IF(L20&gt;=40,"P","F"))))</f>
        <v>A</v>
      </c>
    </row>
    <row r="21" spans="1:13" ht="15" customHeight="1" x14ac:dyDescent="0.25">
      <c r="A21" s="20" t="s">
        <v>4</v>
      </c>
      <c r="B21" s="8"/>
      <c r="C21" s="8"/>
      <c r="D21" s="8"/>
      <c r="E21" s="8"/>
      <c r="F21" s="1">
        <f>VLOOKUP(C8,'3rd Term'!B9:AN48,6,FALSE)</f>
        <v>19</v>
      </c>
      <c r="G21" s="31">
        <f>VLOOKUP(C8,'3rd Term'!B9:AN48,7,FALSE)</f>
        <v>54</v>
      </c>
      <c r="H21" s="31">
        <f t="shared" si="1"/>
        <v>73</v>
      </c>
      <c r="I21" s="31">
        <f>(VLOOKUP(C8,'2nd Term'!B9:AN48,6,FALSE))+(VLOOKUP(C8,'2nd Term'!B9:AN48,7,FALSE))</f>
        <v>97</v>
      </c>
      <c r="J21" s="31">
        <f>(VLOOKUP($C$8,'1st Term'!$B$9:$AN$48,6,FALSE))+(VLOOKUP($C$8,'1st Term'!$B$9:$AN$48,7,FALSE))</f>
        <v>74</v>
      </c>
      <c r="K21" s="31">
        <f t="shared" si="2"/>
        <v>244</v>
      </c>
      <c r="L21" s="26">
        <f t="shared" si="0"/>
        <v>81.333333333333329</v>
      </c>
      <c r="M21" s="31" t="str">
        <f t="shared" si="3"/>
        <v>A</v>
      </c>
    </row>
    <row r="22" spans="1:13" ht="15" customHeight="1" x14ac:dyDescent="0.25">
      <c r="A22" s="20" t="s">
        <v>5</v>
      </c>
      <c r="B22" s="8"/>
      <c r="C22" s="8"/>
      <c r="D22" s="8"/>
      <c r="E22" s="8"/>
      <c r="F22" s="1">
        <f>VLOOKUP(C8,'3rd Term'!B9:AN48,8,FALSE)</f>
        <v>23</v>
      </c>
      <c r="G22" s="31">
        <f>VLOOKUP(C8,'3rd Term'!B9:AN48,9,FALSE)</f>
        <v>31</v>
      </c>
      <c r="H22" s="31">
        <f t="shared" si="1"/>
        <v>54</v>
      </c>
      <c r="I22" s="31">
        <f>(VLOOKUP(C8,'2nd Term'!B9:AN48,8,FALSE))+(VLOOKUP(C8,'2nd Term'!B9:AN48,9,FALSE))</f>
        <v>54</v>
      </c>
      <c r="J22" s="31">
        <f>(VLOOKUP($C$8,'1st Term'!$B$9:$AN$48,8,FALSE))+(VLOOKUP($C$8,'1st Term'!$B$9:$AN$48,9,FALSE))</f>
        <v>36</v>
      </c>
      <c r="K22" s="31">
        <f t="shared" si="2"/>
        <v>144</v>
      </c>
      <c r="L22" s="26">
        <f t="shared" si="0"/>
        <v>48</v>
      </c>
      <c r="M22" s="31" t="str">
        <f t="shared" si="3"/>
        <v>P</v>
      </c>
    </row>
    <row r="23" spans="1:13" ht="15" customHeight="1" x14ac:dyDescent="0.25">
      <c r="A23" s="20" t="s">
        <v>7</v>
      </c>
      <c r="B23" s="8"/>
      <c r="C23" s="8"/>
      <c r="D23" s="8"/>
      <c r="E23" s="8"/>
      <c r="F23" s="1">
        <f>VLOOKUP(C8,'3rd Term'!B9:AN48,10,FALSE)</f>
        <v>16</v>
      </c>
      <c r="G23" s="31">
        <f>VLOOKUP(C8,'3rd Term'!B9:AN48,11,FALSE)</f>
        <v>36</v>
      </c>
      <c r="H23" s="31">
        <f t="shared" si="1"/>
        <v>52</v>
      </c>
      <c r="I23" s="31">
        <f>(VLOOKUP(C8,'2nd Term'!B9:AN48,10,FALSE))+(VLOOKUP(C8,'2nd Term'!B9:AN48,11,FALSE))</f>
        <v>93</v>
      </c>
      <c r="J23" s="31">
        <f>(VLOOKUP($C$8,'1st Term'!$B$9:$AN$48,10,FALSE))+(VLOOKUP($C$8,'1st Term'!$B$9:$AN$48,11,FALSE))</f>
        <v>55</v>
      </c>
      <c r="K23" s="31">
        <f t="shared" si="2"/>
        <v>200</v>
      </c>
      <c r="L23" s="26">
        <f t="shared" si="0"/>
        <v>66.666666666666671</v>
      </c>
      <c r="M23" s="31" t="str">
        <f t="shared" si="3"/>
        <v>C</v>
      </c>
    </row>
    <row r="24" spans="1:13" ht="15" customHeight="1" x14ac:dyDescent="0.25">
      <c r="A24" s="20" t="s">
        <v>8</v>
      </c>
      <c r="B24" s="8"/>
      <c r="C24" s="8"/>
      <c r="D24" s="8"/>
      <c r="E24" s="8"/>
      <c r="F24" s="1">
        <f>VLOOKUP(C8,'3rd Term'!B9:AN48,12,FALSE)</f>
        <v>19</v>
      </c>
      <c r="G24" s="31">
        <f>VLOOKUP(C8,'3rd Term'!B9:AN48,13,FALSE)</f>
        <v>30</v>
      </c>
      <c r="H24" s="31">
        <f t="shared" si="1"/>
        <v>49</v>
      </c>
      <c r="I24" s="31">
        <f>(VLOOKUP(C8,'2nd Term'!B9:AN48,12,FALSE))+(VLOOKUP(C8,'2nd Term'!B9:AN48,13,FALSE))</f>
        <v>53</v>
      </c>
      <c r="J24" s="31">
        <f>(VLOOKUP($C$8,'1st Term'!$B$9:$AN$48,12,FALSE))+(VLOOKUP($C$8,'1st Term'!$B$9:$AN$48,13,FALSE))</f>
        <v>55</v>
      </c>
      <c r="K24" s="31">
        <f t="shared" si="2"/>
        <v>157</v>
      </c>
      <c r="L24" s="26">
        <f t="shared" si="0"/>
        <v>52.333333333333336</v>
      </c>
      <c r="M24" s="31" t="str">
        <f t="shared" si="3"/>
        <v>C</v>
      </c>
    </row>
    <row r="25" spans="1:13" ht="15" customHeight="1" x14ac:dyDescent="0.25">
      <c r="A25" s="20" t="s">
        <v>9</v>
      </c>
      <c r="B25" s="8"/>
      <c r="C25" s="8"/>
      <c r="D25" s="8"/>
      <c r="E25" s="8"/>
      <c r="F25" s="1">
        <f>VLOOKUP(C8,'3rd Term'!B9:AN48,14,FALSE)</f>
        <v>25</v>
      </c>
      <c r="G25" s="31">
        <f>VLOOKUP(C8,'3rd Term'!B9:AN48,15,FALSE)</f>
        <v>32</v>
      </c>
      <c r="H25" s="31">
        <f t="shared" si="1"/>
        <v>57</v>
      </c>
      <c r="I25" s="31">
        <f>(VLOOKUP(C8,'2nd Term'!B9:AN48,14,FALSE))+(VLOOKUP(C8,'2nd Term'!B9:AN48,15,FALSE))</f>
        <v>67</v>
      </c>
      <c r="J25" s="31">
        <f>(VLOOKUP($C$8,'1st Term'!$B$9:$AN$48,14,FALSE))+(VLOOKUP($C$8,'1st Term'!$B$9:$AN$48,15,FALSE))</f>
        <v>79</v>
      </c>
      <c r="K25" s="31">
        <f t="shared" si="2"/>
        <v>203</v>
      </c>
      <c r="L25" s="26">
        <f t="shared" si="0"/>
        <v>67.666666666666671</v>
      </c>
      <c r="M25" s="31" t="str">
        <f t="shared" si="3"/>
        <v>C</v>
      </c>
    </row>
    <row r="26" spans="1:13" ht="15" customHeight="1" x14ac:dyDescent="0.25">
      <c r="A26" s="20" t="s">
        <v>10</v>
      </c>
      <c r="B26" s="8"/>
      <c r="C26" s="8"/>
      <c r="D26" s="8"/>
      <c r="E26" s="8"/>
      <c r="F26" s="1">
        <f>VLOOKUP(C8,'3rd Term'!B9:AN48,16,FALSE)</f>
        <v>20</v>
      </c>
      <c r="G26" s="31">
        <f>VLOOKUP(C8,'3rd Term'!B9:AN48,17,FALSE)</f>
        <v>50</v>
      </c>
      <c r="H26" s="31">
        <f t="shared" si="1"/>
        <v>70</v>
      </c>
      <c r="I26" s="31">
        <f>(VLOOKUP(C8,'2nd Term'!B9:AN48,16,FALSE))+(VLOOKUP(C8,'2nd Term'!B9:AN48,17,FALSE))</f>
        <v>86</v>
      </c>
      <c r="J26" s="31">
        <f>(VLOOKUP($C$8,'1st Term'!$B$9:$AN$48,16,FALSE))+(VLOOKUP($C$8,'1st Term'!$B$9:$AN$48,17,FALSE))</f>
        <v>65</v>
      </c>
      <c r="K26" s="31">
        <f t="shared" si="2"/>
        <v>221</v>
      </c>
      <c r="L26" s="26">
        <f t="shared" si="0"/>
        <v>73.666666666666671</v>
      </c>
      <c r="M26" s="31" t="str">
        <f t="shared" si="3"/>
        <v>A</v>
      </c>
    </row>
    <row r="27" spans="1:13" ht="15" hidden="1" customHeight="1" x14ac:dyDescent="0.25">
      <c r="A27" s="20" t="s">
        <v>11</v>
      </c>
      <c r="B27" s="8"/>
      <c r="C27" s="8"/>
      <c r="D27" s="8"/>
      <c r="E27" s="8"/>
      <c r="F27" s="1">
        <f>VLOOKUP(C8,'3rd Term'!B9:AN48,18,FALSE)</f>
        <v>0</v>
      </c>
      <c r="G27" s="31">
        <f>VLOOKUP(C8,'3rd Term'!B9:AN48,19,FALSE)</f>
        <v>0</v>
      </c>
      <c r="H27" s="31">
        <f t="shared" si="1"/>
        <v>0</v>
      </c>
      <c r="I27" s="31">
        <f>(VLOOKUP(C8,'2nd Term'!B9:AN48,18,FALSE))+(VLOOKUP(C8,'2nd Term'!B9:AN48,19,FALSE))</f>
        <v>0</v>
      </c>
      <c r="J27" s="31">
        <f>(VLOOKUP($C$8,'1st Term'!$B$9:$AN$48,18,FALSE))+(VLOOKUP($C$8,'1st Term'!$B$9:$AN$48,19,FALSE))</f>
        <v>0</v>
      </c>
      <c r="K27" s="31" t="str">
        <f t="shared" si="2"/>
        <v>-</v>
      </c>
      <c r="L27" s="26" t="str">
        <f t="shared" si="0"/>
        <v>-</v>
      </c>
      <c r="M27" s="31" t="str">
        <f t="shared" si="3"/>
        <v>-</v>
      </c>
    </row>
    <row r="28" spans="1:13" ht="15" customHeight="1" x14ac:dyDescent="0.25">
      <c r="A28" s="20" t="s">
        <v>13</v>
      </c>
      <c r="B28" s="8"/>
      <c r="C28" s="8"/>
      <c r="D28" s="8"/>
      <c r="E28" s="8"/>
      <c r="F28" s="1">
        <f>VLOOKUP(C8,'3rd Term'!B9:AN48,20,FALSE)</f>
        <v>17</v>
      </c>
      <c r="G28" s="31">
        <f>VLOOKUP(C8,'3rd Term'!B9:AN48,21,FALSE)</f>
        <v>42</v>
      </c>
      <c r="H28" s="31">
        <f t="shared" si="1"/>
        <v>59</v>
      </c>
      <c r="I28" s="31">
        <f>(VLOOKUP(C8,'2nd Term'!B9:AN48,20,FALSE))+(VLOOKUP(C8,'2nd Term'!B9:AN48,21,FALSE))</f>
        <v>85</v>
      </c>
      <c r="J28" s="31">
        <f>(VLOOKUP($C$8,'1st Term'!$B$9:$AN$48,20,FALSE))+(VLOOKUP($C$8,'1st Term'!$B$9:$AN$48,21,FALSE))</f>
        <v>78</v>
      </c>
      <c r="K28" s="31">
        <f t="shared" si="2"/>
        <v>222</v>
      </c>
      <c r="L28" s="26">
        <f t="shared" si="0"/>
        <v>74</v>
      </c>
      <c r="M28" s="31" t="str">
        <f t="shared" si="3"/>
        <v>A</v>
      </c>
    </row>
    <row r="29" spans="1:13" x14ac:dyDescent="0.25">
      <c r="A29" s="20" t="s">
        <v>14</v>
      </c>
      <c r="B29" s="8"/>
      <c r="C29" s="8"/>
      <c r="D29" s="8"/>
      <c r="E29" s="8"/>
      <c r="F29" s="1">
        <f>VLOOKUP(C8,'3rd Term'!B9:AN48,22,FALSE)</f>
        <v>24</v>
      </c>
      <c r="G29" s="31">
        <f>VLOOKUP(C8,'3rd Term'!B9:AN48,23,FALSE)</f>
        <v>44</v>
      </c>
      <c r="H29" s="31">
        <f t="shared" si="1"/>
        <v>68</v>
      </c>
      <c r="I29" s="31">
        <f>(VLOOKUP(C8,'2nd Term'!B9:AN48,22,FALSE))+(VLOOKUP(C8,'2nd Term'!B9:AN48,23,FALSE))</f>
        <v>90</v>
      </c>
      <c r="J29" s="31">
        <f>(VLOOKUP($C$8,'1st Term'!$B$9:$AN$48,22,FALSE))+(VLOOKUP($C$8,'1st Term'!$B$9:$AN$48,23,FALSE))</f>
        <v>86</v>
      </c>
      <c r="K29" s="31">
        <f t="shared" si="2"/>
        <v>244</v>
      </c>
      <c r="L29" s="26">
        <f t="shared" si="0"/>
        <v>81.333333333333329</v>
      </c>
      <c r="M29" s="31" t="str">
        <f t="shared" si="3"/>
        <v>A</v>
      </c>
    </row>
    <row r="30" spans="1:13" x14ac:dyDescent="0.25">
      <c r="A30" s="20" t="s">
        <v>15</v>
      </c>
      <c r="B30" s="8"/>
      <c r="C30" s="8"/>
      <c r="D30" s="8"/>
      <c r="E30" s="8"/>
      <c r="F30" s="1">
        <f>VLOOKUP(C8,'3rd Term'!B9:AN48,24,FALSE)</f>
        <v>20</v>
      </c>
      <c r="G30" s="31">
        <f>VLOOKUP(C8,'3rd Term'!B9:AN48,25,FALSE)</f>
        <v>38</v>
      </c>
      <c r="H30" s="31">
        <f t="shared" si="1"/>
        <v>58</v>
      </c>
      <c r="I30" s="31">
        <f>(VLOOKUP(C8,'2nd Term'!B9:AN48,24,FALSE))+(VLOOKUP(C8,'2nd Term'!B9:AN48,25,FALSE))</f>
        <v>80</v>
      </c>
      <c r="J30" s="31">
        <f>(VLOOKUP($C$8,'1st Term'!$B$9:$AN$48,24,FALSE))+(VLOOKUP($C$8,'1st Term'!$B$9:$AN$48,25,FALSE))</f>
        <v>80</v>
      </c>
      <c r="K30" s="31">
        <f t="shared" si="2"/>
        <v>218</v>
      </c>
      <c r="L30" s="26">
        <f t="shared" si="0"/>
        <v>72.666666666666671</v>
      </c>
      <c r="M30" s="31" t="str">
        <f t="shared" si="3"/>
        <v>A</v>
      </c>
    </row>
    <row r="31" spans="1:13" hidden="1" x14ac:dyDescent="0.25">
      <c r="A31" s="20" t="s">
        <v>22</v>
      </c>
      <c r="B31" s="8"/>
      <c r="C31" s="8"/>
      <c r="D31" s="8"/>
      <c r="E31" s="8"/>
      <c r="F31" s="1">
        <f>VLOOKUP(C8,'3rd Term'!B9:AN48,26,FALSE)</f>
        <v>0</v>
      </c>
      <c r="G31" s="31">
        <f>VLOOKUP(C8,'3rd Term'!B9:AN48,27,FALSE)</f>
        <v>0</v>
      </c>
      <c r="H31" s="31">
        <f t="shared" si="1"/>
        <v>0</v>
      </c>
      <c r="I31" s="31">
        <f>(VLOOKUP(C8,'2nd Term'!B9:AN48,26,FALSE))+(VLOOKUP(C8,'2nd Term'!B9:AN48,27,FALSE))</f>
        <v>0</v>
      </c>
      <c r="J31" s="31">
        <f>(VLOOKUP($C$8,'1st Term'!$B$9:$AN$48,26,FALSE))+(VLOOKUP($C$8,'1st Term'!$B$9:$AN$48,27,FALSE))</f>
        <v>0</v>
      </c>
      <c r="K31" s="31" t="str">
        <f t="shared" si="2"/>
        <v>-</v>
      </c>
      <c r="L31" s="26" t="str">
        <f t="shared" si="0"/>
        <v>-</v>
      </c>
      <c r="M31" s="31" t="str">
        <f t="shared" si="3"/>
        <v>-</v>
      </c>
    </row>
    <row r="32" spans="1:13" x14ac:dyDescent="0.25">
      <c r="A32" s="20" t="s">
        <v>16</v>
      </c>
      <c r="B32" s="8"/>
      <c r="C32" s="8"/>
      <c r="D32" s="8"/>
      <c r="E32" s="8"/>
      <c r="F32" s="1">
        <f>VLOOKUP(C8,'3rd Term'!B9:AN48,28,FALSE)</f>
        <v>15</v>
      </c>
      <c r="G32" s="31">
        <f>VLOOKUP(C8,'3rd Term'!B9:AN48,29,FALSE)</f>
        <v>24</v>
      </c>
      <c r="H32" s="31">
        <f t="shared" si="1"/>
        <v>39</v>
      </c>
      <c r="I32" s="31">
        <f>(VLOOKUP(C8,'2nd Term'!B9:AN48,28,FALSE))+(VLOOKUP(C8,'2nd Term'!B9:AN48,29,FALSE))</f>
        <v>81</v>
      </c>
      <c r="J32" s="31">
        <f>(VLOOKUP($C$8,'1st Term'!$B$9:$AN$48,28,FALSE))+(VLOOKUP($C$8,'1st Term'!$B$9:$AN$48,29,FALSE))</f>
        <v>63</v>
      </c>
      <c r="K32" s="31">
        <f t="shared" si="2"/>
        <v>183</v>
      </c>
      <c r="L32" s="26">
        <f t="shared" si="0"/>
        <v>61</v>
      </c>
      <c r="M32" s="31" t="str">
        <f t="shared" si="3"/>
        <v>C</v>
      </c>
    </row>
    <row r="33" spans="1:13" x14ac:dyDescent="0.25">
      <c r="A33" s="20" t="s">
        <v>17</v>
      </c>
      <c r="B33" s="8"/>
      <c r="C33" s="8"/>
      <c r="D33" s="8"/>
      <c r="E33" s="8"/>
      <c r="F33" s="1">
        <f>VLOOKUP(C8,'3rd Term'!B9:AN48,30,FALSE)</f>
        <v>28</v>
      </c>
      <c r="G33" s="31">
        <f>VLOOKUP(C8,'3rd Term'!B9:AN48,31,FALSE)</f>
        <v>26</v>
      </c>
      <c r="H33" s="31">
        <f t="shared" si="1"/>
        <v>54</v>
      </c>
      <c r="I33" s="31">
        <f>(VLOOKUP(C8,'2nd Term'!B9:AN48,30,FALSE))+(VLOOKUP(C8,'2nd Term'!B9:AN48,31,FALSE))</f>
        <v>95</v>
      </c>
      <c r="J33" s="31">
        <f>(VLOOKUP($C$8,'1st Term'!$B$9:$AN$48,30,FALSE))+(VLOOKUP($C$8,'1st Term'!$B$9:$AN$48,31,FALSE))</f>
        <v>65</v>
      </c>
      <c r="K33" s="31">
        <f t="shared" si="2"/>
        <v>214</v>
      </c>
      <c r="L33" s="26">
        <f t="shared" si="0"/>
        <v>71.333333333333329</v>
      </c>
      <c r="M33" s="31" t="str">
        <f t="shared" si="3"/>
        <v>A</v>
      </c>
    </row>
    <row r="34" spans="1:13" x14ac:dyDescent="0.25">
      <c r="A34" s="20" t="s">
        <v>18</v>
      </c>
      <c r="B34" s="8"/>
      <c r="C34" s="8"/>
      <c r="D34" s="8"/>
      <c r="E34" s="8"/>
      <c r="F34" s="1">
        <f>VLOOKUP(C8,'3rd Term'!B9:AN48,32,FALSE)</f>
        <v>21</v>
      </c>
      <c r="G34" s="31">
        <f>VLOOKUP(C8,'3rd Term'!B9:AN48,33,FALSE)</f>
        <v>55</v>
      </c>
      <c r="H34" s="31">
        <f t="shared" si="1"/>
        <v>76</v>
      </c>
      <c r="I34" s="31">
        <f>(VLOOKUP(C8,'2nd Term'!B9:AN48,32,FALSE))+(VLOOKUP(C8,'2nd Term'!B9:AN48,33,FALSE))</f>
        <v>76</v>
      </c>
      <c r="J34" s="31">
        <f>(VLOOKUP($C$8,'1st Term'!$B$9:$AN$48,32,FALSE))+(VLOOKUP($C$8,'1st Term'!$B$9:$AN$48,33,FALSE))</f>
        <v>63</v>
      </c>
      <c r="K34" s="31">
        <f t="shared" si="2"/>
        <v>215</v>
      </c>
      <c r="L34" s="26">
        <f t="shared" si="0"/>
        <v>71.666666666666671</v>
      </c>
      <c r="M34" s="31" t="str">
        <f t="shared" si="3"/>
        <v>A</v>
      </c>
    </row>
    <row r="35" spans="1:13" x14ac:dyDescent="0.25">
      <c r="A35" s="20" t="s">
        <v>19</v>
      </c>
      <c r="B35" s="8"/>
      <c r="C35" s="8"/>
      <c r="D35" s="8"/>
      <c r="E35" s="8"/>
      <c r="F35" s="1">
        <f>VLOOKUP(C8,'3rd Term'!B9:AN48,34,FALSE)</f>
        <v>26</v>
      </c>
      <c r="G35" s="31">
        <f>VLOOKUP(C8,'3rd Term'!B9:AN48,35,FALSE)</f>
        <v>40</v>
      </c>
      <c r="H35" s="31">
        <f t="shared" si="1"/>
        <v>66</v>
      </c>
      <c r="I35" s="31">
        <f>(VLOOKUP(C8,'2nd Term'!B9:AN48,34,FALSE))+(VLOOKUP(C8,'2nd Term'!B9:AN48,35,FALSE))</f>
        <v>74</v>
      </c>
      <c r="J35" s="31">
        <f>(VLOOKUP($C$8,'1st Term'!$B$9:$AN$48,34,FALSE))+(VLOOKUP($C$8,'1st Term'!$B$9:$AN$48,35,FALSE))</f>
        <v>54</v>
      </c>
      <c r="K35" s="31">
        <f t="shared" si="2"/>
        <v>194</v>
      </c>
      <c r="L35" s="26">
        <f t="shared" si="0"/>
        <v>64.666666666666671</v>
      </c>
      <c r="M35" s="31" t="str">
        <f t="shared" si="3"/>
        <v>C</v>
      </c>
    </row>
    <row r="36" spans="1:13" x14ac:dyDescent="0.25">
      <c r="A36" s="20" t="s">
        <v>20</v>
      </c>
      <c r="B36" s="8"/>
      <c r="C36" s="8"/>
      <c r="D36" s="8"/>
      <c r="E36" s="8"/>
      <c r="F36" s="1">
        <f>VLOOKUP(C8,'3rd Term'!B9:AN48,36,FALSE)</f>
        <v>22</v>
      </c>
      <c r="G36" s="31">
        <f>VLOOKUP(C8,'3rd Term'!B9:AN48,37,FALSE)</f>
        <v>46</v>
      </c>
      <c r="H36" s="31">
        <f t="shared" si="1"/>
        <v>68</v>
      </c>
      <c r="I36" s="31">
        <f>(VLOOKUP(C8,'2nd Term'!B9:AN48,36,FALSE))+(VLOOKUP(C8,'2nd Term'!B9:AN48,37,FALSE))</f>
        <v>80</v>
      </c>
      <c r="J36" s="31">
        <f>(VLOOKUP($C$8,'1st Term'!$B$9:$AN$48,36,FALSE))+(VLOOKUP($C$8,'1st Term'!$B$9:$AN$48,37,FALSE))</f>
        <v>75</v>
      </c>
      <c r="K36" s="31">
        <f t="shared" si="2"/>
        <v>223</v>
      </c>
      <c r="L36" s="26">
        <f t="shared" si="0"/>
        <v>74.333333333333329</v>
      </c>
      <c r="M36" s="31" t="str">
        <f t="shared" si="3"/>
        <v>A</v>
      </c>
    </row>
    <row r="37" spans="1:13" x14ac:dyDescent="0.25">
      <c r="A37" s="18" t="s">
        <v>21</v>
      </c>
      <c r="B37" s="7"/>
      <c r="C37" s="7"/>
      <c r="D37" s="7"/>
      <c r="E37" s="7"/>
      <c r="F37" s="57">
        <f>VLOOKUP(C8,'3rd Term'!B9:AN48,38,FALSE)</f>
        <v>14</v>
      </c>
      <c r="G37" s="31">
        <f>VLOOKUP(C8,'3rd Term'!B9:AN48,39,FALSE)</f>
        <v>22</v>
      </c>
      <c r="H37" s="31">
        <f t="shared" si="1"/>
        <v>36</v>
      </c>
      <c r="I37" s="31">
        <f>(VLOOKUP(C8,'2nd Term'!B9:AN48,38,FALSE))+(VLOOKUP(C8,'2nd Term'!B9:AN48,39,FALSE))</f>
        <v>94</v>
      </c>
      <c r="J37" s="31">
        <f>(VLOOKUP($C$8,'1st Term'!$B$9:$AN$48,38,FALSE))+(VLOOKUP($C$8,'1st Term'!$B$9:$AN$48,39,FALSE))</f>
        <v>91</v>
      </c>
      <c r="K37" s="31">
        <f t="shared" si="2"/>
        <v>221</v>
      </c>
      <c r="L37" s="26">
        <f t="shared" si="0"/>
        <v>73.666666666666671</v>
      </c>
      <c r="M37" s="31" t="str">
        <f t="shared" si="3"/>
        <v>A</v>
      </c>
    </row>
    <row r="43" spans="1:13" x14ac:dyDescent="0.25">
      <c r="G43" s="110" t="s">
        <v>62</v>
      </c>
      <c r="H43" s="110"/>
      <c r="I43" s="110"/>
      <c r="J43" s="110"/>
      <c r="K43" s="110"/>
      <c r="L43" s="110"/>
      <c r="M43" s="110"/>
    </row>
    <row r="44" spans="1:13" x14ac:dyDescent="0.25">
      <c r="A44" s="77" t="s">
        <v>58</v>
      </c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</row>
    <row r="45" spans="1:13" ht="12.75" customHeight="1" x14ac:dyDescent="0.25">
      <c r="A45" s="50" t="str">
        <f>VLOOKUP(C8,comments!B8:X47,7,0)</f>
        <v>She is improving gradually but needs to participate more in class discussions.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</row>
    <row r="46" spans="1:13" x14ac:dyDescent="0.25">
      <c r="A46" s="50"/>
      <c r="B46" s="50"/>
      <c r="C46" s="50"/>
      <c r="D46" s="50"/>
      <c r="E46" s="50"/>
      <c r="F46" s="78"/>
      <c r="G46" s="78"/>
      <c r="H46" s="78"/>
      <c r="I46" s="78"/>
      <c r="J46" s="78"/>
      <c r="K46" s="78"/>
      <c r="L46" s="78"/>
      <c r="M46" s="78"/>
    </row>
    <row r="47" spans="1:13" x14ac:dyDescent="0.25">
      <c r="A47" s="79" t="s">
        <v>60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</row>
    <row r="48" spans="1:13" ht="12" customHeight="1" x14ac:dyDescent="0.25">
      <c r="A48" s="50" t="str">
        <f>VLOOKUP(C8,comments!B8:X47,14,0)</f>
        <v>Just fair. You can improve if only you will be more regular at school next term. Promoted to the Next Class.</v>
      </c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</row>
    <row r="49" spans="1:13" x14ac:dyDescent="0.25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</row>
    <row r="50" spans="1:13" x14ac:dyDescent="0.25">
      <c r="A50" s="79" t="s">
        <v>59</v>
      </c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</row>
    <row r="51" spans="1:13" ht="12" customHeight="1" x14ac:dyDescent="0.25">
      <c r="A51" s="78" t="s">
        <v>61</v>
      </c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</row>
  </sheetData>
  <sheetProtection algorithmName="SHA-512" hashValue="405fmb0r3AjSYGgwxJ4DmgrTqSeaVJRClYclYfCe+ahN0ptZRwrCayRpxMfLeWMf4j5A73/YI9FYTv7ta861bw==" saltValue="s77Kn6+VuyDN9zklj8NfQA==" spinCount="100000" sheet="1" scenarios="1"/>
  <mergeCells count="13">
    <mergeCell ref="I14:I17"/>
    <mergeCell ref="A18:B18"/>
    <mergeCell ref="G43:M43"/>
    <mergeCell ref="B1:M2"/>
    <mergeCell ref="B3:M3"/>
    <mergeCell ref="B4:M4"/>
    <mergeCell ref="B5:M6"/>
    <mergeCell ref="K7:M12"/>
    <mergeCell ref="A8:B8"/>
    <mergeCell ref="A9:B9"/>
    <mergeCell ref="A10:B10"/>
    <mergeCell ref="A11:B11"/>
    <mergeCell ref="A12:B12"/>
  </mergeCells>
  <conditionalFormatting sqref="M19:M37">
    <cfRule type="cellIs" dxfId="89" priority="3" operator="equal">
      <formula>"F"</formula>
    </cfRule>
    <cfRule type="cellIs" dxfId="88" priority="4" operator="equal">
      <formula>"P"</formula>
    </cfRule>
    <cfRule type="cellIs" dxfId="87" priority="5" operator="equal">
      <formula>"C"</formula>
    </cfRule>
    <cfRule type="cellIs" dxfId="86" priority="6" operator="equal">
      <formula>"A"</formula>
    </cfRule>
  </conditionalFormatting>
  <conditionalFormatting sqref="F19:J37">
    <cfRule type="cellIs" dxfId="85" priority="1" operator="equal">
      <formula>0</formula>
    </cfRule>
    <cfRule type="colorScale" priority="2">
      <colorScale>
        <cfvo type="min"/>
        <cfvo type="num" val="0"/>
        <color rgb="FFFF7128"/>
        <color theme="0"/>
      </colorScale>
    </cfRule>
  </conditionalFormatting>
  <dataValidations count="1">
    <dataValidation type="list" allowBlank="1" showInputMessage="1" showErrorMessage="1" sqref="M14:M17" xr:uid="{2ED76DFF-7BC9-4A45-A1B4-21C2580CFB16}">
      <formula1>"A,B,C,D,E"</formula1>
    </dataValidation>
  </dataValidations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BEE0D-B04F-40ED-A2BF-F931E8611663}">
  <sheetPr>
    <tabColor rgb="FF7030A0"/>
  </sheetPr>
  <dimension ref="A1:M51"/>
  <sheetViews>
    <sheetView workbookViewId="0">
      <selection activeCell="O44" sqref="O44"/>
    </sheetView>
  </sheetViews>
  <sheetFormatPr defaultRowHeight="15" x14ac:dyDescent="0.25"/>
  <cols>
    <col min="3" max="3" width="8.140625" customWidth="1"/>
    <col min="4" max="4" width="9.42578125" customWidth="1"/>
    <col min="5" max="5" width="10.5703125" customWidth="1"/>
    <col min="6" max="6" width="6.28515625" customWidth="1"/>
    <col min="7" max="8" width="5.85546875" customWidth="1"/>
    <col min="9" max="9" width="5.5703125" customWidth="1"/>
    <col min="10" max="11" width="5.28515625" customWidth="1"/>
    <col min="12" max="12" width="6.28515625" customWidth="1"/>
    <col min="13" max="13" width="5.7109375" customWidth="1"/>
  </cols>
  <sheetData>
    <row r="1" spans="1:13" ht="15" customHeight="1" x14ac:dyDescent="0.25">
      <c r="A1" s="10"/>
      <c r="B1" s="116" t="s">
        <v>185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</row>
    <row r="2" spans="1:13" ht="15" customHeight="1" x14ac:dyDescent="0.25">
      <c r="A2" s="10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</row>
    <row r="3" spans="1:13" ht="15.75" x14ac:dyDescent="0.25">
      <c r="A3" s="10"/>
      <c r="B3" s="117" t="s">
        <v>184</v>
      </c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</row>
    <row r="4" spans="1:13" ht="15.75" x14ac:dyDescent="0.25">
      <c r="A4" s="10"/>
      <c r="B4" s="118" t="s">
        <v>186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</row>
    <row r="5" spans="1:13" ht="15" customHeight="1" x14ac:dyDescent="0.25">
      <c r="A5" s="10"/>
      <c r="B5" s="119" t="s">
        <v>36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</row>
    <row r="6" spans="1:13" ht="15" customHeight="1" x14ac:dyDescent="0.25">
      <c r="A6" s="10"/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</row>
    <row r="7" spans="1:13" ht="15" customHeight="1" x14ac:dyDescent="0.25">
      <c r="I7" s="10"/>
      <c r="J7" s="10"/>
      <c r="K7" s="122" t="s">
        <v>105</v>
      </c>
      <c r="L7" s="122"/>
      <c r="M7" s="122"/>
    </row>
    <row r="8" spans="1:13" x14ac:dyDescent="0.25">
      <c r="A8" s="120" t="s">
        <v>37</v>
      </c>
      <c r="B8" s="120"/>
      <c r="C8" s="29" t="str">
        <f>('1st Term'!B14)</f>
        <v>CHIEKEZIE MAXWELL</v>
      </c>
      <c r="D8" s="8"/>
      <c r="E8" s="8"/>
      <c r="F8" s="8"/>
      <c r="G8" s="8"/>
      <c r="H8" s="9"/>
      <c r="I8" s="10"/>
      <c r="J8" s="10"/>
      <c r="K8" s="122"/>
      <c r="L8" s="122"/>
      <c r="M8" s="122"/>
    </row>
    <row r="9" spans="1:13" x14ac:dyDescent="0.25">
      <c r="A9" s="121" t="s">
        <v>38</v>
      </c>
      <c r="B9" s="115"/>
      <c r="C9" s="29" t="str">
        <f>('1st Term'!B7)</f>
        <v>JSS 1A</v>
      </c>
      <c r="D9" s="8"/>
      <c r="E9" s="8"/>
      <c r="F9" s="8"/>
      <c r="G9" s="8"/>
      <c r="H9" s="9"/>
      <c r="I9" s="10"/>
      <c r="J9" s="10"/>
      <c r="K9" s="122"/>
      <c r="L9" s="122"/>
      <c r="M9" s="122"/>
    </row>
    <row r="10" spans="1:13" x14ac:dyDescent="0.25">
      <c r="A10" s="121" t="s">
        <v>39</v>
      </c>
      <c r="B10" s="115"/>
      <c r="C10" s="29" t="str">
        <f>(comments!C4)</f>
        <v>2025/2026</v>
      </c>
      <c r="D10" s="8"/>
      <c r="E10" s="8"/>
      <c r="F10" s="43"/>
      <c r="G10" s="43"/>
      <c r="H10" s="9"/>
      <c r="I10" s="10"/>
      <c r="J10" s="10"/>
      <c r="K10" s="122"/>
      <c r="L10" s="122"/>
      <c r="M10" s="122"/>
    </row>
    <row r="11" spans="1:13" x14ac:dyDescent="0.25">
      <c r="A11" s="121" t="s">
        <v>40</v>
      </c>
      <c r="B11" s="115"/>
      <c r="C11" s="30" t="str">
        <f>(comments!B5)</f>
        <v>THIRD TERM</v>
      </c>
      <c r="D11" s="7"/>
      <c r="E11" s="7"/>
      <c r="F11" s="13" t="s">
        <v>167</v>
      </c>
      <c r="G11" s="8"/>
      <c r="H11" s="53">
        <f>INDEX(comments!D8:D47,MATCH(sheet6!C8,comments!B8:B47,0))</f>
        <v>47.2156862745098</v>
      </c>
      <c r="I11" s="10"/>
      <c r="J11" s="10"/>
      <c r="K11" s="122"/>
      <c r="L11" s="122"/>
      <c r="M11" s="122"/>
    </row>
    <row r="12" spans="1:13" x14ac:dyDescent="0.25">
      <c r="A12" s="114" t="s">
        <v>41</v>
      </c>
      <c r="B12" s="115"/>
      <c r="C12" s="30" t="str">
        <f>(comments!E6)</f>
        <v>20TH APRIL 2026</v>
      </c>
      <c r="D12" s="7"/>
      <c r="E12" s="7"/>
      <c r="F12" s="13" t="s">
        <v>44</v>
      </c>
      <c r="G12" s="8"/>
      <c r="H12" s="51" t="str">
        <f>INDEX(comments!E8:E47,MATCH(sheet6!C8,comments!B8:B47,0))</f>
        <v>18th</v>
      </c>
      <c r="I12" s="10"/>
      <c r="J12" s="10"/>
      <c r="K12" s="123"/>
      <c r="L12" s="123"/>
      <c r="M12" s="123"/>
    </row>
    <row r="13" spans="1:13" x14ac:dyDescent="0.25">
      <c r="A13" s="48"/>
      <c r="B13" s="49"/>
      <c r="C13" s="50"/>
      <c r="F13" s="25"/>
      <c r="H13" s="52"/>
      <c r="I13" s="10"/>
      <c r="J13" s="10"/>
      <c r="K13" s="54"/>
      <c r="L13" s="54"/>
      <c r="M13" s="54"/>
    </row>
    <row r="14" spans="1:13" ht="16.5" customHeight="1" x14ac:dyDescent="0.25">
      <c r="A14" s="16" t="s">
        <v>48</v>
      </c>
      <c r="B14" s="8"/>
      <c r="C14" s="8"/>
      <c r="D14" s="13" t="s">
        <v>49</v>
      </c>
      <c r="E14" s="8"/>
      <c r="F14" s="8"/>
      <c r="G14" s="8"/>
      <c r="H14" s="15"/>
      <c r="I14" s="113" t="s">
        <v>50</v>
      </c>
      <c r="J14" s="45" t="s">
        <v>32</v>
      </c>
      <c r="K14" s="44"/>
      <c r="L14" s="17"/>
      <c r="M14" s="44" t="s">
        <v>52</v>
      </c>
    </row>
    <row r="15" spans="1:13" ht="21" customHeight="1" x14ac:dyDescent="0.25">
      <c r="A15" s="11" t="s">
        <v>46</v>
      </c>
      <c r="B15" s="7"/>
      <c r="C15" s="7"/>
      <c r="D15" s="55">
        <f>(comments!C6)</f>
        <v>110</v>
      </c>
      <c r="E15" s="8"/>
      <c r="F15" s="8"/>
      <c r="G15" s="8"/>
      <c r="H15" s="14"/>
      <c r="I15" s="113"/>
      <c r="J15" s="45" t="s">
        <v>33</v>
      </c>
      <c r="K15" s="44"/>
      <c r="L15" s="17"/>
      <c r="M15" s="44" t="s">
        <v>51</v>
      </c>
    </row>
    <row r="16" spans="1:13" ht="18.75" customHeight="1" x14ac:dyDescent="0.25">
      <c r="A16" s="12" t="s">
        <v>47</v>
      </c>
      <c r="B16" s="8"/>
      <c r="C16" s="8"/>
      <c r="D16" s="56">
        <f>VLOOKUP(C8,comments!B8:C47,2,FALSE)</f>
        <v>0</v>
      </c>
      <c r="E16" s="8"/>
      <c r="F16" s="8"/>
      <c r="G16" s="8"/>
      <c r="H16" s="14"/>
      <c r="I16" s="113"/>
      <c r="J16" s="45" t="s">
        <v>34</v>
      </c>
      <c r="K16" s="44"/>
      <c r="L16" s="17"/>
      <c r="M16" s="44" t="s">
        <v>51</v>
      </c>
    </row>
    <row r="17" spans="1:13" ht="17.25" customHeight="1" x14ac:dyDescent="0.25">
      <c r="A17" s="11" t="s">
        <v>45</v>
      </c>
      <c r="B17" s="7"/>
      <c r="C17" s="7"/>
      <c r="D17" s="56">
        <f>(comments!D6)</f>
        <v>22</v>
      </c>
      <c r="E17" s="8"/>
      <c r="F17" s="8"/>
      <c r="G17" s="8"/>
      <c r="H17" s="14"/>
      <c r="I17" s="113"/>
      <c r="J17" s="47" t="s">
        <v>35</v>
      </c>
      <c r="K17" s="46"/>
      <c r="L17" s="40"/>
      <c r="M17" s="44" t="s">
        <v>52</v>
      </c>
    </row>
    <row r="18" spans="1:13" ht="61.5" customHeight="1" x14ac:dyDescent="0.25">
      <c r="A18" s="111" t="s">
        <v>53</v>
      </c>
      <c r="B18" s="112"/>
      <c r="C18" s="19"/>
      <c r="D18" s="19"/>
      <c r="E18" s="19"/>
      <c r="F18" s="41" t="s">
        <v>172</v>
      </c>
      <c r="G18" s="41" t="s">
        <v>171</v>
      </c>
      <c r="H18" s="41" t="s">
        <v>173</v>
      </c>
      <c r="I18" s="42" t="s">
        <v>174</v>
      </c>
      <c r="J18" s="42" t="s">
        <v>175</v>
      </c>
      <c r="K18" s="41" t="s">
        <v>165</v>
      </c>
      <c r="L18" s="41" t="s">
        <v>166</v>
      </c>
      <c r="M18" s="41" t="s">
        <v>54</v>
      </c>
    </row>
    <row r="19" spans="1:13" ht="15" customHeight="1" x14ac:dyDescent="0.25">
      <c r="A19" s="20" t="s">
        <v>6</v>
      </c>
      <c r="B19" s="8"/>
      <c r="C19" s="8"/>
      <c r="D19" s="8"/>
      <c r="E19" s="8"/>
      <c r="F19" s="31">
        <f>VLOOKUP(C8,'3rd Term'!B9:AN48,2,FALSE)</f>
        <v>20</v>
      </c>
      <c r="G19" s="31">
        <f>VLOOKUP(C8,'3rd Term'!B9:AN48,3,FALSE)</f>
        <v>48</v>
      </c>
      <c r="H19" s="31">
        <f>SUM(F19:G19)</f>
        <v>68</v>
      </c>
      <c r="I19" s="5">
        <f>(VLOOKUP(C8,'2nd Term'!B9:AN48,2,FALSE))+(VLOOKUP(C8,'2nd Term'!B9:AN48,3,FALSE))</f>
        <v>46</v>
      </c>
      <c r="J19" s="31">
        <f>(VLOOKUP($C$8,'1st Term'!$B$9:$AN$48,2,FALSE))+(VLOOKUP($C$8,'1st Term'!$B$9:$AN$48,3,FALSE))</f>
        <v>46</v>
      </c>
      <c r="K19" s="31">
        <f>IF(SUM(H19:J19)=0,"-",SUM(H19:J19))</f>
        <v>160</v>
      </c>
      <c r="L19" s="26">
        <f t="shared" ref="L19:L37" si="0">IFERROR(((H19)+(I19)+(J19))/((--(H19&gt;0))+(--(I19&gt;0))+(--(J19&gt;0))),"-")</f>
        <v>53.333333333333336</v>
      </c>
      <c r="M19" s="31" t="str">
        <f>IF(L19="-","-",IF(L19&gt;=70,"A",IF(L19&gt;=50,"C",IF(L19&gt;=40,"P","F"))))</f>
        <v>C</v>
      </c>
    </row>
    <row r="20" spans="1:13" ht="15" customHeight="1" x14ac:dyDescent="0.25">
      <c r="A20" s="20" t="s">
        <v>3</v>
      </c>
      <c r="B20" s="8"/>
      <c r="C20" s="8"/>
      <c r="D20" s="8"/>
      <c r="E20" s="8"/>
      <c r="F20" s="1">
        <f>VLOOKUP(C8,'3rd Term'!B9:AN48,4,FALSE)</f>
        <v>24</v>
      </c>
      <c r="G20" s="31">
        <f>VLOOKUP(C8,'3rd Term'!B9:AN48,5,FALSE)</f>
        <v>45</v>
      </c>
      <c r="H20" s="31">
        <f t="shared" ref="H20:H37" si="1">SUM(F20:G20)</f>
        <v>69</v>
      </c>
      <c r="I20" s="31">
        <f>(VLOOKUP(C8,'2nd Term'!B9:AN48,4,FALSE))+(VLOOKUP(C8,'2nd Term'!B9:AN48,5,FALSE))</f>
        <v>37</v>
      </c>
      <c r="J20" s="31">
        <f>(VLOOKUP($C$8,'1st Term'!$B$9:$AN$48,4,FALSE))+(VLOOKUP($C$8,'1st Term'!$B$9:$AN$48,5,FALSE))</f>
        <v>43</v>
      </c>
      <c r="K20" s="31">
        <f t="shared" ref="K20:K37" si="2">IF(SUM(H20:J20)=0,"-",SUM(H20:J20))</f>
        <v>149</v>
      </c>
      <c r="L20" s="26">
        <f t="shared" si="0"/>
        <v>49.666666666666664</v>
      </c>
      <c r="M20" s="31" t="str">
        <f t="shared" ref="M20:M37" si="3">IF(L20="-","-",IF(L20&gt;=70,"A",IF(L20&gt;=50,"C",IF(L20&gt;=40,"P","F"))))</f>
        <v>P</v>
      </c>
    </row>
    <row r="21" spans="1:13" ht="15" customHeight="1" x14ac:dyDescent="0.25">
      <c r="A21" s="20" t="s">
        <v>4</v>
      </c>
      <c r="B21" s="8"/>
      <c r="C21" s="8"/>
      <c r="D21" s="8"/>
      <c r="E21" s="8"/>
      <c r="F21" s="1">
        <f>VLOOKUP(C8,'3rd Term'!B9:AN48,6,FALSE)</f>
        <v>18</v>
      </c>
      <c r="G21" s="31">
        <f>VLOOKUP(C8,'3rd Term'!B9:AN48,7,FALSE)</f>
        <v>48</v>
      </c>
      <c r="H21" s="31">
        <f t="shared" si="1"/>
        <v>66</v>
      </c>
      <c r="I21" s="31">
        <f>(VLOOKUP(C8,'2nd Term'!B9:AN48,6,FALSE))+(VLOOKUP(C8,'2nd Term'!B9:AN48,7,FALSE))</f>
        <v>45</v>
      </c>
      <c r="J21" s="31">
        <f>(VLOOKUP($C$8,'1st Term'!$B$9:$AN$48,6,FALSE))+(VLOOKUP($C$8,'1st Term'!$B$9:$AN$48,7,FALSE))</f>
        <v>25</v>
      </c>
      <c r="K21" s="31">
        <f t="shared" si="2"/>
        <v>136</v>
      </c>
      <c r="L21" s="26">
        <f t="shared" si="0"/>
        <v>45.333333333333336</v>
      </c>
      <c r="M21" s="31" t="str">
        <f t="shared" si="3"/>
        <v>P</v>
      </c>
    </row>
    <row r="22" spans="1:13" ht="15" customHeight="1" x14ac:dyDescent="0.25">
      <c r="A22" s="20" t="s">
        <v>5</v>
      </c>
      <c r="B22" s="8"/>
      <c r="C22" s="8"/>
      <c r="D22" s="8"/>
      <c r="E22" s="8"/>
      <c r="F22" s="1">
        <f>VLOOKUP(C8,'3rd Term'!B9:AN48,8,FALSE)</f>
        <v>26</v>
      </c>
      <c r="G22" s="31">
        <f>VLOOKUP(C8,'3rd Term'!B9:AN48,9,FALSE)</f>
        <v>48</v>
      </c>
      <c r="H22" s="31">
        <f t="shared" si="1"/>
        <v>74</v>
      </c>
      <c r="I22" s="31">
        <f>(VLOOKUP(C8,'2nd Term'!B9:AN48,8,FALSE))+(VLOOKUP(C8,'2nd Term'!B9:AN48,9,FALSE))</f>
        <v>35</v>
      </c>
      <c r="J22" s="31">
        <f>(VLOOKUP($C$8,'1st Term'!$B$9:$AN$48,8,FALSE))+(VLOOKUP($C$8,'1st Term'!$B$9:$AN$48,9,FALSE))</f>
        <v>48</v>
      </c>
      <c r="K22" s="31">
        <f t="shared" si="2"/>
        <v>157</v>
      </c>
      <c r="L22" s="26">
        <f t="shared" si="0"/>
        <v>52.333333333333336</v>
      </c>
      <c r="M22" s="31" t="str">
        <f t="shared" si="3"/>
        <v>C</v>
      </c>
    </row>
    <row r="23" spans="1:13" ht="15" customHeight="1" x14ac:dyDescent="0.25">
      <c r="A23" s="20" t="s">
        <v>7</v>
      </c>
      <c r="B23" s="8"/>
      <c r="C23" s="8"/>
      <c r="D23" s="8"/>
      <c r="E23" s="8"/>
      <c r="F23" s="1">
        <f>VLOOKUP(C8,'3rd Term'!B9:AN48,10,FALSE)</f>
        <v>19</v>
      </c>
      <c r="G23" s="31">
        <f>VLOOKUP(C8,'3rd Term'!B9:AN48,11,FALSE)</f>
        <v>36</v>
      </c>
      <c r="H23" s="31">
        <f t="shared" si="1"/>
        <v>55</v>
      </c>
      <c r="I23" s="31">
        <f>(VLOOKUP(C8,'2nd Term'!B9:AN48,10,FALSE))+(VLOOKUP(C8,'2nd Term'!B9:AN48,11,FALSE))</f>
        <v>52</v>
      </c>
      <c r="J23" s="31">
        <f>(VLOOKUP($C$8,'1st Term'!$B$9:$AN$48,10,FALSE))+(VLOOKUP($C$8,'1st Term'!$B$9:$AN$48,11,FALSE))</f>
        <v>40</v>
      </c>
      <c r="K23" s="31">
        <f t="shared" si="2"/>
        <v>147</v>
      </c>
      <c r="L23" s="26">
        <f t="shared" si="0"/>
        <v>49</v>
      </c>
      <c r="M23" s="31" t="str">
        <f t="shared" si="3"/>
        <v>P</v>
      </c>
    </row>
    <row r="24" spans="1:13" ht="15" customHeight="1" x14ac:dyDescent="0.25">
      <c r="A24" s="20" t="s">
        <v>8</v>
      </c>
      <c r="B24" s="8"/>
      <c r="C24" s="8"/>
      <c r="D24" s="8"/>
      <c r="E24" s="8"/>
      <c r="F24" s="1">
        <f>VLOOKUP(C8,'3rd Term'!B9:AN48,12,FALSE)</f>
        <v>29</v>
      </c>
      <c r="G24" s="31">
        <f>VLOOKUP(C8,'3rd Term'!B9:AN48,13,FALSE)</f>
        <v>50</v>
      </c>
      <c r="H24" s="31">
        <f t="shared" si="1"/>
        <v>79</v>
      </c>
      <c r="I24" s="31">
        <f>(VLOOKUP(C8,'2nd Term'!B9:AN48,12,FALSE))+(VLOOKUP(C8,'2nd Term'!B9:AN48,13,FALSE))</f>
        <v>32</v>
      </c>
      <c r="J24" s="31">
        <f>(VLOOKUP($C$8,'1st Term'!$B$9:$AN$48,12,FALSE))+(VLOOKUP($C$8,'1st Term'!$B$9:$AN$48,13,FALSE))</f>
        <v>36</v>
      </c>
      <c r="K24" s="31">
        <f t="shared" si="2"/>
        <v>147</v>
      </c>
      <c r="L24" s="26">
        <f t="shared" si="0"/>
        <v>49</v>
      </c>
      <c r="M24" s="31" t="str">
        <f t="shared" si="3"/>
        <v>P</v>
      </c>
    </row>
    <row r="25" spans="1:13" ht="15" customHeight="1" x14ac:dyDescent="0.25">
      <c r="A25" s="20" t="s">
        <v>9</v>
      </c>
      <c r="B25" s="8"/>
      <c r="C25" s="8"/>
      <c r="D25" s="8"/>
      <c r="E25" s="8"/>
      <c r="F25" s="1">
        <f>VLOOKUP(C8,'3rd Term'!B9:AN48,14,FALSE)</f>
        <v>28</v>
      </c>
      <c r="G25" s="31">
        <f>VLOOKUP(C8,'3rd Term'!B9:AN48,15,FALSE)</f>
        <v>32</v>
      </c>
      <c r="H25" s="31">
        <f t="shared" si="1"/>
        <v>60</v>
      </c>
      <c r="I25" s="31">
        <f>(VLOOKUP(C8,'2nd Term'!B9:AN48,14,FALSE))+(VLOOKUP(C8,'2nd Term'!B9:AN48,15,FALSE))</f>
        <v>41</v>
      </c>
      <c r="J25" s="31">
        <f>(VLOOKUP($C$8,'1st Term'!$B$9:$AN$48,14,FALSE))+(VLOOKUP($C$8,'1st Term'!$B$9:$AN$48,15,FALSE))</f>
        <v>30</v>
      </c>
      <c r="K25" s="31">
        <f t="shared" si="2"/>
        <v>131</v>
      </c>
      <c r="L25" s="26">
        <f t="shared" si="0"/>
        <v>43.666666666666664</v>
      </c>
      <c r="M25" s="31" t="str">
        <f t="shared" si="3"/>
        <v>P</v>
      </c>
    </row>
    <row r="26" spans="1:13" ht="15" customHeight="1" x14ac:dyDescent="0.25">
      <c r="A26" s="20" t="s">
        <v>10</v>
      </c>
      <c r="B26" s="8"/>
      <c r="C26" s="8"/>
      <c r="D26" s="8"/>
      <c r="E26" s="8"/>
      <c r="F26" s="1">
        <f>VLOOKUP(C8,'3rd Term'!B9:AN48,16,FALSE)</f>
        <v>13</v>
      </c>
      <c r="G26" s="31">
        <f>VLOOKUP(C8,'3rd Term'!B9:AN48,17,FALSE)</f>
        <v>45</v>
      </c>
      <c r="H26" s="31">
        <f t="shared" si="1"/>
        <v>58</v>
      </c>
      <c r="I26" s="31">
        <f>(VLOOKUP(C8,'2nd Term'!B9:AN48,16,FALSE))+(VLOOKUP(C8,'2nd Term'!B9:AN48,17,FALSE))</f>
        <v>37</v>
      </c>
      <c r="J26" s="31">
        <f>(VLOOKUP($C$8,'1st Term'!$B$9:$AN$48,16,FALSE))+(VLOOKUP($C$8,'1st Term'!$B$9:$AN$48,17,FALSE))</f>
        <v>32</v>
      </c>
      <c r="K26" s="31">
        <f t="shared" si="2"/>
        <v>127</v>
      </c>
      <c r="L26" s="26">
        <f t="shared" si="0"/>
        <v>42.333333333333336</v>
      </c>
      <c r="M26" s="31" t="str">
        <f t="shared" si="3"/>
        <v>P</v>
      </c>
    </row>
    <row r="27" spans="1:13" ht="15" hidden="1" customHeight="1" x14ac:dyDescent="0.25">
      <c r="A27" s="20" t="s">
        <v>11</v>
      </c>
      <c r="B27" s="8"/>
      <c r="C27" s="8"/>
      <c r="D27" s="8"/>
      <c r="E27" s="8"/>
      <c r="F27" s="1">
        <f>VLOOKUP(C8,'3rd Term'!B9:AN48,18,FALSE)</f>
        <v>0</v>
      </c>
      <c r="G27" s="31">
        <f>VLOOKUP(C8,'3rd Term'!B9:AN48,19,FALSE)</f>
        <v>0</v>
      </c>
      <c r="H27" s="31">
        <f t="shared" si="1"/>
        <v>0</v>
      </c>
      <c r="I27" s="31">
        <f>(VLOOKUP(C8,'2nd Term'!B9:AN48,18,FALSE))+(VLOOKUP(C8,'2nd Term'!B9:AN48,19,FALSE))</f>
        <v>0</v>
      </c>
      <c r="J27" s="31">
        <f>(VLOOKUP($C$8,'1st Term'!$B$9:$AN$48,18,FALSE))+(VLOOKUP($C$8,'1st Term'!$B$9:$AN$48,19,FALSE))</f>
        <v>0</v>
      </c>
      <c r="K27" s="31" t="str">
        <f t="shared" si="2"/>
        <v>-</v>
      </c>
      <c r="L27" s="26" t="str">
        <f t="shared" si="0"/>
        <v>-</v>
      </c>
      <c r="M27" s="31" t="str">
        <f t="shared" si="3"/>
        <v>-</v>
      </c>
    </row>
    <row r="28" spans="1:13" ht="15" customHeight="1" x14ac:dyDescent="0.25">
      <c r="A28" s="20" t="s">
        <v>13</v>
      </c>
      <c r="B28" s="8"/>
      <c r="C28" s="8"/>
      <c r="D28" s="8"/>
      <c r="E28" s="8"/>
      <c r="F28" s="1">
        <f>VLOOKUP(C8,'3rd Term'!B9:AN48,20,FALSE)</f>
        <v>26</v>
      </c>
      <c r="G28" s="31">
        <f>VLOOKUP(C8,'3rd Term'!B9:AN48,21,FALSE)</f>
        <v>46</v>
      </c>
      <c r="H28" s="31">
        <f t="shared" si="1"/>
        <v>72</v>
      </c>
      <c r="I28" s="31">
        <f>(VLOOKUP(C8,'2nd Term'!B9:AN48,20,FALSE))+(VLOOKUP(C8,'2nd Term'!B9:AN48,21,FALSE))</f>
        <v>38</v>
      </c>
      <c r="J28" s="31">
        <f>(VLOOKUP($C$8,'1st Term'!$B$9:$AN$48,20,FALSE))+(VLOOKUP($C$8,'1st Term'!$B$9:$AN$48,21,FALSE))</f>
        <v>19</v>
      </c>
      <c r="K28" s="31">
        <f t="shared" si="2"/>
        <v>129</v>
      </c>
      <c r="L28" s="26">
        <f t="shared" si="0"/>
        <v>43</v>
      </c>
      <c r="M28" s="31" t="str">
        <f t="shared" si="3"/>
        <v>P</v>
      </c>
    </row>
    <row r="29" spans="1:13" x14ac:dyDescent="0.25">
      <c r="A29" s="20" t="s">
        <v>14</v>
      </c>
      <c r="B29" s="8"/>
      <c r="C29" s="8"/>
      <c r="D29" s="8"/>
      <c r="E29" s="8"/>
      <c r="F29" s="1">
        <f>VLOOKUP(C8,'3rd Term'!B9:AN48,22,FALSE)</f>
        <v>27</v>
      </c>
      <c r="G29" s="31">
        <f>VLOOKUP(C8,'3rd Term'!B9:AN48,23,FALSE)</f>
        <v>59</v>
      </c>
      <c r="H29" s="31">
        <f t="shared" si="1"/>
        <v>86</v>
      </c>
      <c r="I29" s="31">
        <f>(VLOOKUP(C8,'2nd Term'!B9:AN48,22,FALSE))+(VLOOKUP(C8,'2nd Term'!B9:AN48,23,FALSE))</f>
        <v>53</v>
      </c>
      <c r="J29" s="31">
        <f>(VLOOKUP($C$8,'1st Term'!$B$9:$AN$48,22,FALSE))+(VLOOKUP($C$8,'1st Term'!$B$9:$AN$48,23,FALSE))</f>
        <v>41</v>
      </c>
      <c r="K29" s="31">
        <f t="shared" si="2"/>
        <v>180</v>
      </c>
      <c r="L29" s="26">
        <f t="shared" si="0"/>
        <v>60</v>
      </c>
      <c r="M29" s="31" t="str">
        <f t="shared" si="3"/>
        <v>C</v>
      </c>
    </row>
    <row r="30" spans="1:13" x14ac:dyDescent="0.25">
      <c r="A30" s="20" t="s">
        <v>15</v>
      </c>
      <c r="B30" s="8"/>
      <c r="C30" s="8"/>
      <c r="D30" s="8"/>
      <c r="E30" s="8"/>
      <c r="F30" s="1">
        <f>VLOOKUP(C8,'3rd Term'!B9:AN48,24,FALSE)</f>
        <v>25</v>
      </c>
      <c r="G30" s="31">
        <f>VLOOKUP(C8,'3rd Term'!B9:AN48,25,FALSE)</f>
        <v>45</v>
      </c>
      <c r="H30" s="31">
        <f t="shared" si="1"/>
        <v>70</v>
      </c>
      <c r="I30" s="31">
        <f>(VLOOKUP(C8,'2nd Term'!B9:AN48,24,FALSE))+(VLOOKUP(C8,'2nd Term'!B9:AN48,25,FALSE))</f>
        <v>33</v>
      </c>
      <c r="J30" s="31">
        <f>(VLOOKUP($C$8,'1st Term'!$B$9:$AN$48,24,FALSE))+(VLOOKUP($C$8,'1st Term'!$B$9:$AN$48,25,FALSE))</f>
        <v>40</v>
      </c>
      <c r="K30" s="31">
        <f t="shared" si="2"/>
        <v>143</v>
      </c>
      <c r="L30" s="26">
        <f t="shared" si="0"/>
        <v>47.666666666666664</v>
      </c>
      <c r="M30" s="31" t="str">
        <f t="shared" si="3"/>
        <v>P</v>
      </c>
    </row>
    <row r="31" spans="1:13" hidden="1" x14ac:dyDescent="0.25">
      <c r="A31" s="20" t="s">
        <v>22</v>
      </c>
      <c r="B31" s="8"/>
      <c r="C31" s="8"/>
      <c r="D31" s="8"/>
      <c r="E31" s="8"/>
      <c r="F31" s="1">
        <f>VLOOKUP(C8,'3rd Term'!B9:AN48,26,FALSE)</f>
        <v>0</v>
      </c>
      <c r="G31" s="31">
        <f>VLOOKUP(C8,'3rd Term'!B9:AN48,27,FALSE)</f>
        <v>0</v>
      </c>
      <c r="H31" s="31">
        <f t="shared" si="1"/>
        <v>0</v>
      </c>
      <c r="I31" s="31">
        <f>(VLOOKUP(C8,'2nd Term'!B9:AN48,26,FALSE))+(VLOOKUP(C8,'2nd Term'!B9:AN48,27,FALSE))</f>
        <v>0</v>
      </c>
      <c r="J31" s="31">
        <f>(VLOOKUP($C$8,'1st Term'!$B$9:$AN$48,26,FALSE))+(VLOOKUP($C$8,'1st Term'!$B$9:$AN$48,27,FALSE))</f>
        <v>0</v>
      </c>
      <c r="K31" s="31" t="str">
        <f t="shared" si="2"/>
        <v>-</v>
      </c>
      <c r="L31" s="26" t="str">
        <f t="shared" si="0"/>
        <v>-</v>
      </c>
      <c r="M31" s="31" t="str">
        <f t="shared" si="3"/>
        <v>-</v>
      </c>
    </row>
    <row r="32" spans="1:13" x14ac:dyDescent="0.25">
      <c r="A32" s="20" t="s">
        <v>16</v>
      </c>
      <c r="B32" s="8"/>
      <c r="C32" s="8"/>
      <c r="D32" s="8"/>
      <c r="E32" s="8"/>
      <c r="F32" s="1">
        <f>VLOOKUP(C8,'3rd Term'!B9:AN48,28,FALSE)</f>
        <v>22</v>
      </c>
      <c r="G32" s="31">
        <f>VLOOKUP(C8,'3rd Term'!B9:AN48,29,FALSE)</f>
        <v>34</v>
      </c>
      <c r="H32" s="31">
        <f t="shared" si="1"/>
        <v>56</v>
      </c>
      <c r="I32" s="31">
        <f>(VLOOKUP(C8,'2nd Term'!B9:AN48,28,FALSE))+(VLOOKUP(C8,'2nd Term'!B9:AN48,29,FALSE))</f>
        <v>29</v>
      </c>
      <c r="J32" s="31">
        <f>(VLOOKUP($C$8,'1st Term'!$B$9:$AN$48,28,FALSE))+(VLOOKUP($C$8,'1st Term'!$B$9:$AN$48,29,FALSE))</f>
        <v>43</v>
      </c>
      <c r="K32" s="31">
        <f t="shared" si="2"/>
        <v>128</v>
      </c>
      <c r="L32" s="26">
        <f t="shared" si="0"/>
        <v>42.666666666666664</v>
      </c>
      <c r="M32" s="31" t="str">
        <f t="shared" si="3"/>
        <v>P</v>
      </c>
    </row>
    <row r="33" spans="1:13" x14ac:dyDescent="0.25">
      <c r="A33" s="20" t="s">
        <v>17</v>
      </c>
      <c r="B33" s="8"/>
      <c r="C33" s="8"/>
      <c r="D33" s="8"/>
      <c r="E33" s="8"/>
      <c r="F33" s="1">
        <f>VLOOKUP(C8,'3rd Term'!B9:AN48,30,FALSE)</f>
        <v>28</v>
      </c>
      <c r="G33" s="31">
        <f>VLOOKUP(C8,'3rd Term'!B9:AN48,31,FALSE)</f>
        <v>24</v>
      </c>
      <c r="H33" s="31">
        <f t="shared" si="1"/>
        <v>52</v>
      </c>
      <c r="I33" s="31">
        <f>(VLOOKUP(C8,'2nd Term'!B9:AN48,30,FALSE))+(VLOOKUP(C8,'2nd Term'!B9:AN48,31,FALSE))</f>
        <v>33</v>
      </c>
      <c r="J33" s="31">
        <f>(VLOOKUP($C$8,'1st Term'!$B$9:$AN$48,30,FALSE))+(VLOOKUP($C$8,'1st Term'!$B$9:$AN$48,31,FALSE))</f>
        <v>38</v>
      </c>
      <c r="K33" s="31">
        <f t="shared" si="2"/>
        <v>123</v>
      </c>
      <c r="L33" s="26">
        <f t="shared" si="0"/>
        <v>41</v>
      </c>
      <c r="M33" s="31" t="str">
        <f t="shared" si="3"/>
        <v>P</v>
      </c>
    </row>
    <row r="34" spans="1:13" x14ac:dyDescent="0.25">
      <c r="A34" s="20" t="s">
        <v>18</v>
      </c>
      <c r="B34" s="8"/>
      <c r="C34" s="8"/>
      <c r="D34" s="8"/>
      <c r="E34" s="8"/>
      <c r="F34" s="1">
        <f>VLOOKUP(C8,'3rd Term'!B9:AN48,32,FALSE)</f>
        <v>20</v>
      </c>
      <c r="G34" s="31">
        <f>VLOOKUP(C8,'3rd Term'!B9:AN48,33,FALSE)</f>
        <v>58</v>
      </c>
      <c r="H34" s="31">
        <f t="shared" si="1"/>
        <v>78</v>
      </c>
      <c r="I34" s="31">
        <f>(VLOOKUP(C8,'2nd Term'!B9:AN48,32,FALSE))+(VLOOKUP(C8,'2nd Term'!B9:AN48,33,FALSE))</f>
        <v>59</v>
      </c>
      <c r="J34" s="31">
        <f>(VLOOKUP($C$8,'1st Term'!$B$9:$AN$48,32,FALSE))+(VLOOKUP($C$8,'1st Term'!$B$9:$AN$48,33,FALSE))</f>
        <v>36</v>
      </c>
      <c r="K34" s="31">
        <f t="shared" si="2"/>
        <v>173</v>
      </c>
      <c r="L34" s="26">
        <f t="shared" si="0"/>
        <v>57.666666666666664</v>
      </c>
      <c r="M34" s="31" t="str">
        <f t="shared" si="3"/>
        <v>C</v>
      </c>
    </row>
    <row r="35" spans="1:13" x14ac:dyDescent="0.25">
      <c r="A35" s="20" t="s">
        <v>19</v>
      </c>
      <c r="B35" s="8"/>
      <c r="C35" s="8"/>
      <c r="D35" s="8"/>
      <c r="E35" s="8"/>
      <c r="F35" s="1">
        <f>VLOOKUP(C8,'3rd Term'!B9:AN48,34,FALSE)</f>
        <v>21</v>
      </c>
      <c r="G35" s="31">
        <f>VLOOKUP(C8,'3rd Term'!B9:AN48,35,FALSE)</f>
        <v>47</v>
      </c>
      <c r="H35" s="31">
        <f t="shared" si="1"/>
        <v>68</v>
      </c>
      <c r="I35" s="31">
        <f>(VLOOKUP(C8,'2nd Term'!B9:AN48,34,FALSE))+(VLOOKUP(C8,'2nd Term'!B9:AN48,35,FALSE))</f>
        <v>28</v>
      </c>
      <c r="J35" s="31">
        <f>(VLOOKUP($C$8,'1st Term'!$B$9:$AN$48,34,FALSE))+(VLOOKUP($C$8,'1st Term'!$B$9:$AN$48,35,FALSE))</f>
        <v>19</v>
      </c>
      <c r="K35" s="31">
        <f t="shared" si="2"/>
        <v>115</v>
      </c>
      <c r="L35" s="26">
        <f t="shared" si="0"/>
        <v>38.333333333333336</v>
      </c>
      <c r="M35" s="31" t="str">
        <f t="shared" si="3"/>
        <v>F</v>
      </c>
    </row>
    <row r="36" spans="1:13" x14ac:dyDescent="0.25">
      <c r="A36" s="20" t="s">
        <v>20</v>
      </c>
      <c r="B36" s="8"/>
      <c r="C36" s="8"/>
      <c r="D36" s="8"/>
      <c r="E36" s="8"/>
      <c r="F36" s="1">
        <f>VLOOKUP(C8,'3rd Term'!B9:AN48,36,FALSE)</f>
        <v>28</v>
      </c>
      <c r="G36" s="31">
        <f>VLOOKUP(C8,'3rd Term'!B9:AN48,37,FALSE)</f>
        <v>52</v>
      </c>
      <c r="H36" s="31">
        <f t="shared" si="1"/>
        <v>80</v>
      </c>
      <c r="I36" s="31">
        <f>(VLOOKUP(C8,'2nd Term'!B9:AN48,36,FALSE))+(VLOOKUP(C8,'2nd Term'!B9:AN48,37,FALSE))</f>
        <v>42</v>
      </c>
      <c r="J36" s="31">
        <f>(VLOOKUP($C$8,'1st Term'!$B$9:$AN$48,36,FALSE))+(VLOOKUP($C$8,'1st Term'!$B$9:$AN$48,37,FALSE))</f>
        <v>37</v>
      </c>
      <c r="K36" s="31">
        <f t="shared" si="2"/>
        <v>159</v>
      </c>
      <c r="L36" s="26">
        <f t="shared" si="0"/>
        <v>53</v>
      </c>
      <c r="M36" s="31" t="str">
        <f t="shared" si="3"/>
        <v>C</v>
      </c>
    </row>
    <row r="37" spans="1:13" x14ac:dyDescent="0.25">
      <c r="A37" s="18" t="s">
        <v>21</v>
      </c>
      <c r="B37" s="7"/>
      <c r="C37" s="7"/>
      <c r="D37" s="7"/>
      <c r="E37" s="7"/>
      <c r="F37" s="57">
        <f>VLOOKUP(C8,'3rd Term'!B9:AN48,38,FALSE)</f>
        <v>20</v>
      </c>
      <c r="G37" s="31">
        <f>VLOOKUP(C8,'3rd Term'!B9:AN48,39,FALSE)</f>
        <v>39</v>
      </c>
      <c r="H37" s="31">
        <f t="shared" si="1"/>
        <v>59</v>
      </c>
      <c r="I37" s="31">
        <f>(VLOOKUP(C8,'2nd Term'!B9:AN48,38,FALSE))+(VLOOKUP(C8,'2nd Term'!B9:AN48,39,FALSE))</f>
        <v>26</v>
      </c>
      <c r="J37" s="31">
        <f>(VLOOKUP($C$8,'1st Term'!$B$9:$AN$48,38,FALSE))+(VLOOKUP($C$8,'1st Term'!$B$9:$AN$48,39,FALSE))</f>
        <v>19</v>
      </c>
      <c r="K37" s="31">
        <f t="shared" si="2"/>
        <v>104</v>
      </c>
      <c r="L37" s="26">
        <f t="shared" si="0"/>
        <v>34.666666666666664</v>
      </c>
      <c r="M37" s="31" t="str">
        <f t="shared" si="3"/>
        <v>F</v>
      </c>
    </row>
    <row r="43" spans="1:13" x14ac:dyDescent="0.25">
      <c r="G43" s="110" t="s">
        <v>62</v>
      </c>
      <c r="H43" s="110"/>
      <c r="I43" s="110"/>
      <c r="J43" s="110"/>
      <c r="K43" s="110"/>
      <c r="L43" s="110"/>
      <c r="M43" s="110"/>
    </row>
    <row r="44" spans="1:13" x14ac:dyDescent="0.25">
      <c r="A44" s="77" t="s">
        <v>58</v>
      </c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</row>
    <row r="45" spans="1:13" ht="12.75" customHeight="1" x14ac:dyDescent="0.25">
      <c r="A45" s="50" t="str">
        <f>VLOOKUP(C8,comments!B8:X47,7,0)</f>
        <v>She is improving gradually but needs to participate more in class discussions.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</row>
    <row r="46" spans="1:13" x14ac:dyDescent="0.25">
      <c r="A46" s="50"/>
      <c r="B46" s="50"/>
      <c r="C46" s="50"/>
      <c r="D46" s="50"/>
      <c r="E46" s="50"/>
      <c r="F46" s="78"/>
      <c r="G46" s="78"/>
      <c r="H46" s="78"/>
      <c r="I46" s="78"/>
      <c r="J46" s="78"/>
      <c r="K46" s="78"/>
      <c r="L46" s="78"/>
      <c r="M46" s="78"/>
    </row>
    <row r="47" spans="1:13" x14ac:dyDescent="0.25">
      <c r="A47" s="79" t="s">
        <v>60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</row>
    <row r="48" spans="1:13" ht="12" customHeight="1" x14ac:dyDescent="0.25">
      <c r="A48" s="50" t="str">
        <f>VLOOKUP(C8,comments!B8:X47,14,0)</f>
        <v>Just fair. You can improve if only you will be more regular at school next term. Promoted to the Next Class.</v>
      </c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</row>
    <row r="49" spans="1:13" x14ac:dyDescent="0.25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</row>
    <row r="50" spans="1:13" x14ac:dyDescent="0.25">
      <c r="A50" s="79" t="s">
        <v>59</v>
      </c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</row>
    <row r="51" spans="1:13" ht="12" customHeight="1" x14ac:dyDescent="0.25">
      <c r="A51" s="78" t="s">
        <v>61</v>
      </c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</row>
  </sheetData>
  <sheetProtection algorithmName="SHA-512" hashValue="2vzS1kskthk6rsgSkUAy97xeqgzRxz7jqrv46NTl9HDUuoPq0qLFCplRU4MjIHsc8I3758nUp1lNHDUAU9t41w==" saltValue="aOVqJy+mT4oDbazSz3ftgQ==" spinCount="100000" sheet="1" scenarios="1"/>
  <mergeCells count="13">
    <mergeCell ref="I14:I17"/>
    <mergeCell ref="A18:B18"/>
    <mergeCell ref="G43:M43"/>
    <mergeCell ref="B1:M2"/>
    <mergeCell ref="B3:M3"/>
    <mergeCell ref="B4:M4"/>
    <mergeCell ref="B5:M6"/>
    <mergeCell ref="K7:M12"/>
    <mergeCell ref="A8:B8"/>
    <mergeCell ref="A9:B9"/>
    <mergeCell ref="A10:B10"/>
    <mergeCell ref="A11:B11"/>
    <mergeCell ref="A12:B12"/>
  </mergeCells>
  <conditionalFormatting sqref="M19:M37">
    <cfRule type="cellIs" dxfId="84" priority="3" operator="equal">
      <formula>"F"</formula>
    </cfRule>
    <cfRule type="cellIs" dxfId="83" priority="4" operator="equal">
      <formula>"P"</formula>
    </cfRule>
    <cfRule type="cellIs" dxfId="82" priority="5" operator="equal">
      <formula>"C"</formula>
    </cfRule>
    <cfRule type="cellIs" dxfId="81" priority="6" operator="equal">
      <formula>"A"</formula>
    </cfRule>
  </conditionalFormatting>
  <conditionalFormatting sqref="F19:J37">
    <cfRule type="cellIs" dxfId="80" priority="1" operator="equal">
      <formula>0</formula>
    </cfRule>
    <cfRule type="colorScale" priority="2">
      <colorScale>
        <cfvo type="min"/>
        <cfvo type="num" val="0"/>
        <color rgb="FFFF7128"/>
        <color theme="0"/>
      </colorScale>
    </cfRule>
  </conditionalFormatting>
  <dataValidations count="1">
    <dataValidation type="list" allowBlank="1" showInputMessage="1" showErrorMessage="1" sqref="M14:M17" xr:uid="{CAE135D7-26D2-4BDC-8F3B-13732761E356}">
      <formula1>"A,B,C,D,E"</formula1>
    </dataValidation>
  </dataValidations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92E3F-2D99-44B2-A7C5-4176E4656F14}">
  <sheetPr>
    <tabColor rgb="FF7030A0"/>
  </sheetPr>
  <dimension ref="A1:M51"/>
  <sheetViews>
    <sheetView workbookViewId="0">
      <selection activeCell="O14" sqref="O14"/>
    </sheetView>
  </sheetViews>
  <sheetFormatPr defaultRowHeight="15" x14ac:dyDescent="0.25"/>
  <cols>
    <col min="3" max="3" width="8.140625" customWidth="1"/>
    <col min="4" max="4" width="9.42578125" customWidth="1"/>
    <col min="5" max="5" width="10.5703125" customWidth="1"/>
    <col min="6" max="6" width="6.28515625" customWidth="1"/>
    <col min="7" max="8" width="5.85546875" customWidth="1"/>
    <col min="9" max="9" width="5.5703125" customWidth="1"/>
    <col min="10" max="11" width="5.28515625" customWidth="1"/>
    <col min="12" max="12" width="6.28515625" customWidth="1"/>
    <col min="13" max="13" width="5.7109375" customWidth="1"/>
  </cols>
  <sheetData>
    <row r="1" spans="1:13" ht="15" customHeight="1" x14ac:dyDescent="0.25">
      <c r="A1" s="10"/>
      <c r="B1" s="116" t="s">
        <v>185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</row>
    <row r="2" spans="1:13" ht="15" customHeight="1" x14ac:dyDescent="0.25">
      <c r="A2" s="10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</row>
    <row r="3" spans="1:13" ht="15.75" x14ac:dyDescent="0.25">
      <c r="A3" s="10"/>
      <c r="B3" s="117" t="s">
        <v>184</v>
      </c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</row>
    <row r="4" spans="1:13" ht="15.75" x14ac:dyDescent="0.25">
      <c r="A4" s="10"/>
      <c r="B4" s="118" t="s">
        <v>186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</row>
    <row r="5" spans="1:13" ht="15" customHeight="1" x14ac:dyDescent="0.25">
      <c r="A5" s="10"/>
      <c r="B5" s="119" t="s">
        <v>36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</row>
    <row r="6" spans="1:13" ht="15" customHeight="1" x14ac:dyDescent="0.25">
      <c r="A6" s="10"/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</row>
    <row r="7" spans="1:13" ht="15" customHeight="1" x14ac:dyDescent="0.25">
      <c r="I7" s="10"/>
      <c r="J7" s="10"/>
      <c r="K7" s="122" t="s">
        <v>105</v>
      </c>
      <c r="L7" s="122"/>
      <c r="M7" s="122"/>
    </row>
    <row r="8" spans="1:13" x14ac:dyDescent="0.25">
      <c r="A8" s="120" t="s">
        <v>37</v>
      </c>
      <c r="B8" s="120"/>
      <c r="C8" s="29" t="str">
        <f>('1st Term'!B15)</f>
        <v>EDET MOSES</v>
      </c>
      <c r="D8" s="8"/>
      <c r="E8" s="8"/>
      <c r="F8" s="8"/>
      <c r="G8" s="8"/>
      <c r="H8" s="9"/>
      <c r="I8" s="10"/>
      <c r="J8" s="10"/>
      <c r="K8" s="122"/>
      <c r="L8" s="122"/>
      <c r="M8" s="122"/>
    </row>
    <row r="9" spans="1:13" x14ac:dyDescent="0.25">
      <c r="A9" s="121" t="s">
        <v>38</v>
      </c>
      <c r="B9" s="115"/>
      <c r="C9" s="29" t="str">
        <f>('1st Term'!B7)</f>
        <v>JSS 1A</v>
      </c>
      <c r="D9" s="8"/>
      <c r="E9" s="8"/>
      <c r="F9" s="8"/>
      <c r="G9" s="8"/>
      <c r="H9" s="9"/>
      <c r="I9" s="10"/>
      <c r="J9" s="10"/>
      <c r="K9" s="122"/>
      <c r="L9" s="122"/>
      <c r="M9" s="122"/>
    </row>
    <row r="10" spans="1:13" x14ac:dyDescent="0.25">
      <c r="A10" s="121" t="s">
        <v>39</v>
      </c>
      <c r="B10" s="115"/>
      <c r="C10" s="29" t="str">
        <f>(comments!C4)</f>
        <v>2025/2026</v>
      </c>
      <c r="D10" s="8"/>
      <c r="E10" s="8"/>
      <c r="F10" s="43"/>
      <c r="G10" s="43"/>
      <c r="H10" s="9"/>
      <c r="I10" s="10"/>
      <c r="J10" s="10"/>
      <c r="K10" s="122"/>
      <c r="L10" s="122"/>
      <c r="M10" s="122"/>
    </row>
    <row r="11" spans="1:13" x14ac:dyDescent="0.25">
      <c r="A11" s="121" t="s">
        <v>40</v>
      </c>
      <c r="B11" s="115"/>
      <c r="C11" s="30" t="str">
        <f>(comments!B5)</f>
        <v>THIRD TERM</v>
      </c>
      <c r="D11" s="7"/>
      <c r="E11" s="7"/>
      <c r="F11" s="13" t="s">
        <v>167</v>
      </c>
      <c r="G11" s="8"/>
      <c r="H11" s="53">
        <f>INDEX(comments!D8:D47,MATCH(sheet7!C8,comments!B8:B47,0))</f>
        <v>51.13725490196078</v>
      </c>
      <c r="I11" s="10"/>
      <c r="J11" s="10"/>
      <c r="K11" s="122"/>
      <c r="L11" s="122"/>
      <c r="M11" s="122"/>
    </row>
    <row r="12" spans="1:13" x14ac:dyDescent="0.25">
      <c r="A12" s="114" t="s">
        <v>41</v>
      </c>
      <c r="B12" s="115"/>
      <c r="C12" s="30" t="str">
        <f>(comments!E6)</f>
        <v>20TH APRIL 2026</v>
      </c>
      <c r="D12" s="7"/>
      <c r="E12" s="7"/>
      <c r="F12" s="13" t="s">
        <v>44</v>
      </c>
      <c r="G12" s="8"/>
      <c r="H12" s="51" t="str">
        <f>INDEX(comments!E8:E47,MATCH(sheet7!C8,comments!B8:B47,0))</f>
        <v>12th</v>
      </c>
      <c r="I12" s="10"/>
      <c r="J12" s="10"/>
      <c r="K12" s="123"/>
      <c r="L12" s="123"/>
      <c r="M12" s="123"/>
    </row>
    <row r="13" spans="1:13" x14ac:dyDescent="0.25">
      <c r="A13" s="48"/>
      <c r="B13" s="49"/>
      <c r="C13" s="50"/>
      <c r="F13" s="25"/>
      <c r="H13" s="52"/>
      <c r="I13" s="10"/>
      <c r="J13" s="10"/>
      <c r="K13" s="54"/>
      <c r="L13" s="54"/>
      <c r="M13" s="54"/>
    </row>
    <row r="14" spans="1:13" ht="16.5" customHeight="1" x14ac:dyDescent="0.25">
      <c r="A14" s="16" t="s">
        <v>48</v>
      </c>
      <c r="B14" s="8"/>
      <c r="C14" s="8"/>
      <c r="D14" s="13" t="s">
        <v>49</v>
      </c>
      <c r="E14" s="8"/>
      <c r="F14" s="8"/>
      <c r="G14" s="8"/>
      <c r="H14" s="15"/>
      <c r="I14" s="113" t="s">
        <v>50</v>
      </c>
      <c r="J14" s="45" t="s">
        <v>32</v>
      </c>
      <c r="K14" s="44"/>
      <c r="L14" s="17"/>
      <c r="M14" s="44" t="s">
        <v>52</v>
      </c>
    </row>
    <row r="15" spans="1:13" ht="21" customHeight="1" x14ac:dyDescent="0.25">
      <c r="A15" s="11" t="s">
        <v>46</v>
      </c>
      <c r="B15" s="7"/>
      <c r="C15" s="7"/>
      <c r="D15" s="55">
        <f>(comments!C6)</f>
        <v>110</v>
      </c>
      <c r="E15" s="8"/>
      <c r="F15" s="8"/>
      <c r="G15" s="8"/>
      <c r="H15" s="14"/>
      <c r="I15" s="113"/>
      <c r="J15" s="45" t="s">
        <v>33</v>
      </c>
      <c r="K15" s="44"/>
      <c r="L15" s="17"/>
      <c r="M15" s="44" t="s">
        <v>51</v>
      </c>
    </row>
    <row r="16" spans="1:13" ht="18.75" customHeight="1" x14ac:dyDescent="0.25">
      <c r="A16" s="12" t="s">
        <v>47</v>
      </c>
      <c r="B16" s="8"/>
      <c r="C16" s="8"/>
      <c r="D16" s="56">
        <f>VLOOKUP(C8,comments!B8:C47,2,FALSE)</f>
        <v>0</v>
      </c>
      <c r="E16" s="8"/>
      <c r="F16" s="8"/>
      <c r="G16" s="8"/>
      <c r="H16" s="14"/>
      <c r="I16" s="113"/>
      <c r="J16" s="45" t="s">
        <v>34</v>
      </c>
      <c r="K16" s="44"/>
      <c r="L16" s="17"/>
      <c r="M16" s="44" t="s">
        <v>51</v>
      </c>
    </row>
    <row r="17" spans="1:13" ht="17.25" customHeight="1" x14ac:dyDescent="0.25">
      <c r="A17" s="11" t="s">
        <v>45</v>
      </c>
      <c r="B17" s="7"/>
      <c r="C17" s="7"/>
      <c r="D17" s="56">
        <f>(comments!D6)</f>
        <v>22</v>
      </c>
      <c r="E17" s="8"/>
      <c r="F17" s="8"/>
      <c r="G17" s="8"/>
      <c r="H17" s="14"/>
      <c r="I17" s="113"/>
      <c r="J17" s="47" t="s">
        <v>35</v>
      </c>
      <c r="K17" s="46"/>
      <c r="L17" s="40"/>
      <c r="M17" s="44" t="s">
        <v>52</v>
      </c>
    </row>
    <row r="18" spans="1:13" ht="61.5" customHeight="1" x14ac:dyDescent="0.25">
      <c r="A18" s="111" t="s">
        <v>53</v>
      </c>
      <c r="B18" s="112"/>
      <c r="C18" s="19"/>
      <c r="D18" s="19"/>
      <c r="E18" s="19"/>
      <c r="F18" s="41" t="s">
        <v>172</v>
      </c>
      <c r="G18" s="41" t="s">
        <v>171</v>
      </c>
      <c r="H18" s="41" t="s">
        <v>173</v>
      </c>
      <c r="I18" s="42" t="s">
        <v>174</v>
      </c>
      <c r="J18" s="42" t="s">
        <v>175</v>
      </c>
      <c r="K18" s="41" t="s">
        <v>165</v>
      </c>
      <c r="L18" s="41" t="s">
        <v>166</v>
      </c>
      <c r="M18" s="41" t="s">
        <v>54</v>
      </c>
    </row>
    <row r="19" spans="1:13" ht="15" customHeight="1" x14ac:dyDescent="0.25">
      <c r="A19" s="20" t="s">
        <v>6</v>
      </c>
      <c r="B19" s="8"/>
      <c r="C19" s="8"/>
      <c r="D19" s="8"/>
      <c r="E19" s="8"/>
      <c r="F19" s="31">
        <f>VLOOKUP(C8,'3rd Term'!B9:AN48,2,FALSE)</f>
        <v>22</v>
      </c>
      <c r="G19" s="31">
        <f>VLOOKUP(C8,'3rd Term'!B9:AN48,3,FALSE)</f>
        <v>48</v>
      </c>
      <c r="H19" s="31">
        <f>SUM(F19:G19)</f>
        <v>70</v>
      </c>
      <c r="I19" s="5">
        <f>(VLOOKUP(C8,'2nd Term'!B9:AN48,2,FALSE))+(VLOOKUP(C8,'2nd Term'!B9:AN48,3,FALSE))</f>
        <v>63</v>
      </c>
      <c r="J19" s="31">
        <f>(VLOOKUP($C$8,'1st Term'!$B$9:$AN$48,2,FALSE))+(VLOOKUP($C$8,'1st Term'!$B$9:$AN$48,3,FALSE))</f>
        <v>58</v>
      </c>
      <c r="K19" s="31">
        <f>IF(SUM(H19:J19)=0,"-",SUM(H19:J19))</f>
        <v>191</v>
      </c>
      <c r="L19" s="26">
        <f t="shared" ref="L19:L37" si="0">IFERROR(((H19)+(I19)+(J19))/((--(H19&gt;0))+(--(I19&gt;0))+(--(J19&gt;0))),"-")</f>
        <v>63.666666666666664</v>
      </c>
      <c r="M19" s="31" t="str">
        <f>IF(L19="-","-",IF(L19&gt;=70,"A",IF(L19&gt;=50,"C",IF(L19&gt;=40,"P","F"))))</f>
        <v>C</v>
      </c>
    </row>
    <row r="20" spans="1:13" ht="15" customHeight="1" x14ac:dyDescent="0.25">
      <c r="A20" s="20" t="s">
        <v>3</v>
      </c>
      <c r="B20" s="8"/>
      <c r="C20" s="8"/>
      <c r="D20" s="8"/>
      <c r="E20" s="8"/>
      <c r="F20" s="1">
        <f>VLOOKUP(C8,'3rd Term'!B9:AN48,4,FALSE)</f>
        <v>15</v>
      </c>
      <c r="G20" s="31">
        <f>VLOOKUP(C8,'3rd Term'!B9:AN48,5,FALSE)</f>
        <v>37</v>
      </c>
      <c r="H20" s="31">
        <f t="shared" ref="H20:H37" si="1">SUM(F20:G20)</f>
        <v>52</v>
      </c>
      <c r="I20" s="31">
        <f>(VLOOKUP(C8,'2nd Term'!B9:AN48,4,FALSE))+(VLOOKUP(C8,'2nd Term'!B9:AN48,5,FALSE))</f>
        <v>66</v>
      </c>
      <c r="J20" s="31">
        <f>(VLOOKUP($C$8,'1st Term'!$B$9:$AN$48,4,FALSE))+(VLOOKUP($C$8,'1st Term'!$B$9:$AN$48,5,FALSE))</f>
        <v>62</v>
      </c>
      <c r="K20" s="31">
        <f t="shared" ref="K20:K37" si="2">IF(SUM(H20:J20)=0,"-",SUM(H20:J20))</f>
        <v>180</v>
      </c>
      <c r="L20" s="26">
        <f t="shared" si="0"/>
        <v>60</v>
      </c>
      <c r="M20" s="31" t="str">
        <f t="shared" ref="M20:M37" si="3">IF(L20="-","-",IF(L20&gt;=70,"A",IF(L20&gt;=50,"C",IF(L20&gt;=40,"P","F"))))</f>
        <v>C</v>
      </c>
    </row>
    <row r="21" spans="1:13" ht="15" customHeight="1" x14ac:dyDescent="0.25">
      <c r="A21" s="20" t="s">
        <v>4</v>
      </c>
      <c r="B21" s="8"/>
      <c r="C21" s="8"/>
      <c r="D21" s="8"/>
      <c r="E21" s="8"/>
      <c r="F21" s="1">
        <f>VLOOKUP(C8,'3rd Term'!B9:AN48,6,FALSE)</f>
        <v>19</v>
      </c>
      <c r="G21" s="31">
        <f>VLOOKUP(C8,'3rd Term'!B9:AN48,7,FALSE)</f>
        <v>31</v>
      </c>
      <c r="H21" s="31">
        <f t="shared" si="1"/>
        <v>50</v>
      </c>
      <c r="I21" s="31">
        <f>(VLOOKUP(C8,'2nd Term'!B9:AN48,6,FALSE))+(VLOOKUP(C8,'2nd Term'!B9:AN48,7,FALSE))</f>
        <v>54</v>
      </c>
      <c r="J21" s="31">
        <f>(VLOOKUP($C$8,'1st Term'!$B$9:$AN$48,6,FALSE))+(VLOOKUP($C$8,'1st Term'!$B$9:$AN$48,7,FALSE))</f>
        <v>67</v>
      </c>
      <c r="K21" s="31">
        <f t="shared" si="2"/>
        <v>171</v>
      </c>
      <c r="L21" s="26">
        <f t="shared" si="0"/>
        <v>57</v>
      </c>
      <c r="M21" s="31" t="str">
        <f t="shared" si="3"/>
        <v>C</v>
      </c>
    </row>
    <row r="22" spans="1:13" ht="15" customHeight="1" x14ac:dyDescent="0.25">
      <c r="A22" s="20" t="s">
        <v>5</v>
      </c>
      <c r="B22" s="8"/>
      <c r="C22" s="8"/>
      <c r="D22" s="8"/>
      <c r="E22" s="8"/>
      <c r="F22" s="1">
        <f>VLOOKUP(C8,'3rd Term'!B9:AN48,8,FALSE)</f>
        <v>20</v>
      </c>
      <c r="G22" s="31">
        <f>VLOOKUP(C8,'3rd Term'!B9:AN48,9,FALSE)</f>
        <v>25</v>
      </c>
      <c r="H22" s="31">
        <f t="shared" si="1"/>
        <v>45</v>
      </c>
      <c r="I22" s="31">
        <f>(VLOOKUP(C8,'2nd Term'!B9:AN48,8,FALSE))+(VLOOKUP(C8,'2nd Term'!B9:AN48,9,FALSE))</f>
        <v>36</v>
      </c>
      <c r="J22" s="31">
        <f>(VLOOKUP($C$8,'1st Term'!$B$9:$AN$48,8,FALSE))+(VLOOKUP($C$8,'1st Term'!$B$9:$AN$48,9,FALSE))</f>
        <v>56</v>
      </c>
      <c r="K22" s="31">
        <f t="shared" si="2"/>
        <v>137</v>
      </c>
      <c r="L22" s="26">
        <f t="shared" si="0"/>
        <v>45.666666666666664</v>
      </c>
      <c r="M22" s="31" t="str">
        <f t="shared" si="3"/>
        <v>P</v>
      </c>
    </row>
    <row r="23" spans="1:13" ht="15" customHeight="1" x14ac:dyDescent="0.25">
      <c r="A23" s="20" t="s">
        <v>7</v>
      </c>
      <c r="B23" s="8"/>
      <c r="C23" s="8"/>
      <c r="D23" s="8"/>
      <c r="E23" s="8"/>
      <c r="F23" s="1">
        <f>VLOOKUP(C8,'3rd Term'!B9:AN48,10,FALSE)</f>
        <v>15</v>
      </c>
      <c r="G23" s="31">
        <f>VLOOKUP(C8,'3rd Term'!B9:AN48,11,FALSE)</f>
        <v>30</v>
      </c>
      <c r="H23" s="31">
        <f t="shared" si="1"/>
        <v>45</v>
      </c>
      <c r="I23" s="31">
        <f>(VLOOKUP(C8,'2nd Term'!B9:AN48,10,FALSE))+(VLOOKUP(C8,'2nd Term'!B9:AN48,11,FALSE))</f>
        <v>41</v>
      </c>
      <c r="J23" s="31">
        <f>(VLOOKUP($C$8,'1st Term'!$B$9:$AN$48,10,FALSE))+(VLOOKUP($C$8,'1st Term'!$B$9:$AN$48,11,FALSE))</f>
        <v>67</v>
      </c>
      <c r="K23" s="31">
        <f t="shared" si="2"/>
        <v>153</v>
      </c>
      <c r="L23" s="26">
        <f t="shared" si="0"/>
        <v>51</v>
      </c>
      <c r="M23" s="31" t="str">
        <f t="shared" si="3"/>
        <v>C</v>
      </c>
    </row>
    <row r="24" spans="1:13" ht="15" customHeight="1" x14ac:dyDescent="0.25">
      <c r="A24" s="20" t="s">
        <v>8</v>
      </c>
      <c r="B24" s="8"/>
      <c r="C24" s="8"/>
      <c r="D24" s="8"/>
      <c r="E24" s="8"/>
      <c r="F24" s="1">
        <f>VLOOKUP(C8,'3rd Term'!B9:AN48,12,FALSE)</f>
        <v>19</v>
      </c>
      <c r="G24" s="31">
        <f>VLOOKUP(C8,'3rd Term'!B9:AN48,13,FALSE)</f>
        <v>21</v>
      </c>
      <c r="H24" s="31">
        <f t="shared" si="1"/>
        <v>40</v>
      </c>
      <c r="I24" s="31">
        <f>(VLOOKUP(C8,'2nd Term'!B9:AN48,12,FALSE))+(VLOOKUP(C8,'2nd Term'!B9:AN48,13,FALSE))</f>
        <v>41</v>
      </c>
      <c r="J24" s="31">
        <f>(VLOOKUP($C$8,'1st Term'!$B$9:$AN$48,12,FALSE))+(VLOOKUP($C$8,'1st Term'!$B$9:$AN$48,13,FALSE))</f>
        <v>42</v>
      </c>
      <c r="K24" s="31">
        <f t="shared" si="2"/>
        <v>123</v>
      </c>
      <c r="L24" s="26">
        <f t="shared" si="0"/>
        <v>41</v>
      </c>
      <c r="M24" s="31" t="str">
        <f t="shared" si="3"/>
        <v>P</v>
      </c>
    </row>
    <row r="25" spans="1:13" ht="15" customHeight="1" x14ac:dyDescent="0.25">
      <c r="A25" s="20" t="s">
        <v>9</v>
      </c>
      <c r="B25" s="8"/>
      <c r="C25" s="8"/>
      <c r="D25" s="8"/>
      <c r="E25" s="8"/>
      <c r="F25" s="1">
        <f>VLOOKUP(C8,'3rd Term'!B9:AN48,14,FALSE)</f>
        <v>25</v>
      </c>
      <c r="G25" s="31">
        <f>VLOOKUP(C8,'3rd Term'!B9:AN48,15,FALSE)</f>
        <v>25</v>
      </c>
      <c r="H25" s="31">
        <f t="shared" si="1"/>
        <v>50</v>
      </c>
      <c r="I25" s="31">
        <f>(VLOOKUP(C8,'2nd Term'!B9:AN48,14,FALSE))+(VLOOKUP(C8,'2nd Term'!B9:AN48,15,FALSE))</f>
        <v>53</v>
      </c>
      <c r="J25" s="31">
        <f>(VLOOKUP($C$8,'1st Term'!$B$9:$AN$48,14,FALSE))+(VLOOKUP($C$8,'1st Term'!$B$9:$AN$48,15,FALSE))</f>
        <v>63</v>
      </c>
      <c r="K25" s="31">
        <f t="shared" si="2"/>
        <v>166</v>
      </c>
      <c r="L25" s="26">
        <f t="shared" si="0"/>
        <v>55.333333333333336</v>
      </c>
      <c r="M25" s="31" t="str">
        <f t="shared" si="3"/>
        <v>C</v>
      </c>
    </row>
    <row r="26" spans="1:13" ht="15" customHeight="1" x14ac:dyDescent="0.25">
      <c r="A26" s="20" t="s">
        <v>10</v>
      </c>
      <c r="B26" s="8"/>
      <c r="C26" s="8"/>
      <c r="D26" s="8"/>
      <c r="E26" s="8"/>
      <c r="F26" s="1">
        <f>VLOOKUP(C8,'3rd Term'!B9:AN48,16,FALSE)</f>
        <v>18</v>
      </c>
      <c r="G26" s="31">
        <f>VLOOKUP(C8,'3rd Term'!B9:AN48,17,FALSE)</f>
        <v>21</v>
      </c>
      <c r="H26" s="31">
        <f t="shared" si="1"/>
        <v>39</v>
      </c>
      <c r="I26" s="31">
        <f>(VLOOKUP(C8,'2nd Term'!B9:AN48,16,FALSE))+(VLOOKUP(C8,'2nd Term'!B9:AN48,17,FALSE))</f>
        <v>61</v>
      </c>
      <c r="J26" s="31">
        <f>(VLOOKUP($C$8,'1st Term'!$B$9:$AN$48,16,FALSE))+(VLOOKUP($C$8,'1st Term'!$B$9:$AN$48,17,FALSE))</f>
        <v>37</v>
      </c>
      <c r="K26" s="31">
        <f t="shared" si="2"/>
        <v>137</v>
      </c>
      <c r="L26" s="26">
        <f t="shared" si="0"/>
        <v>45.666666666666664</v>
      </c>
      <c r="M26" s="31" t="str">
        <f t="shared" si="3"/>
        <v>P</v>
      </c>
    </row>
    <row r="27" spans="1:13" ht="15" hidden="1" customHeight="1" x14ac:dyDescent="0.25">
      <c r="A27" s="20" t="s">
        <v>11</v>
      </c>
      <c r="B27" s="8"/>
      <c r="C27" s="8"/>
      <c r="D27" s="8"/>
      <c r="E27" s="8"/>
      <c r="F27" s="1">
        <f>VLOOKUP(C8,'3rd Term'!B9:AN48,18,FALSE)</f>
        <v>0</v>
      </c>
      <c r="G27" s="31">
        <f>VLOOKUP(C8,'3rd Term'!B9:AN48,19,FALSE)</f>
        <v>0</v>
      </c>
      <c r="H27" s="31">
        <f t="shared" si="1"/>
        <v>0</v>
      </c>
      <c r="I27" s="31">
        <f>(VLOOKUP(C8,'2nd Term'!B9:AN48,18,FALSE))+(VLOOKUP(C8,'2nd Term'!B9:AN48,19,FALSE))</f>
        <v>0</v>
      </c>
      <c r="J27" s="31">
        <f>(VLOOKUP($C$8,'1st Term'!$B$9:$AN$48,18,FALSE))+(VLOOKUP($C$8,'1st Term'!$B$9:$AN$48,19,FALSE))</f>
        <v>0</v>
      </c>
      <c r="K27" s="31" t="str">
        <f t="shared" si="2"/>
        <v>-</v>
      </c>
      <c r="L27" s="26" t="str">
        <f t="shared" si="0"/>
        <v>-</v>
      </c>
      <c r="M27" s="31" t="str">
        <f t="shared" si="3"/>
        <v>-</v>
      </c>
    </row>
    <row r="28" spans="1:13" ht="15" customHeight="1" x14ac:dyDescent="0.25">
      <c r="A28" s="20" t="s">
        <v>13</v>
      </c>
      <c r="B28" s="8"/>
      <c r="C28" s="8"/>
      <c r="D28" s="8"/>
      <c r="E28" s="8"/>
      <c r="F28" s="1">
        <f>VLOOKUP(C8,'3rd Term'!B9:AN48,20,FALSE)</f>
        <v>13</v>
      </c>
      <c r="G28" s="31">
        <f>VLOOKUP(C8,'3rd Term'!B9:AN48,21,FALSE)</f>
        <v>23</v>
      </c>
      <c r="H28" s="31">
        <f t="shared" si="1"/>
        <v>36</v>
      </c>
      <c r="I28" s="31">
        <f>(VLOOKUP(C8,'2nd Term'!B9:AN48,20,FALSE))+(VLOOKUP(C8,'2nd Term'!B9:AN48,21,FALSE))</f>
        <v>64</v>
      </c>
      <c r="J28" s="31">
        <f>(VLOOKUP($C$8,'1st Term'!$B$9:$AN$48,20,FALSE))+(VLOOKUP($C$8,'1st Term'!$B$9:$AN$48,21,FALSE))</f>
        <v>52</v>
      </c>
      <c r="K28" s="31">
        <f t="shared" si="2"/>
        <v>152</v>
      </c>
      <c r="L28" s="26">
        <f t="shared" si="0"/>
        <v>50.666666666666664</v>
      </c>
      <c r="M28" s="31" t="str">
        <f t="shared" si="3"/>
        <v>C</v>
      </c>
    </row>
    <row r="29" spans="1:13" x14ac:dyDescent="0.25">
      <c r="A29" s="20" t="s">
        <v>14</v>
      </c>
      <c r="B29" s="8"/>
      <c r="C29" s="8"/>
      <c r="D29" s="8"/>
      <c r="E29" s="8"/>
      <c r="F29" s="1">
        <f>VLOOKUP(C8,'3rd Term'!B9:AN48,22,FALSE)</f>
        <v>15</v>
      </c>
      <c r="G29" s="31">
        <f>VLOOKUP(C8,'3rd Term'!B9:AN48,23,FALSE)</f>
        <v>51</v>
      </c>
      <c r="H29" s="31">
        <f t="shared" si="1"/>
        <v>66</v>
      </c>
      <c r="I29" s="31">
        <f>(VLOOKUP(C8,'2nd Term'!B9:AN48,22,FALSE))+(VLOOKUP(C8,'2nd Term'!B9:AN48,23,FALSE))</f>
        <v>67</v>
      </c>
      <c r="J29" s="31">
        <f>(VLOOKUP($C$8,'1st Term'!$B$9:$AN$48,22,FALSE))+(VLOOKUP($C$8,'1st Term'!$B$9:$AN$48,23,FALSE))</f>
        <v>64</v>
      </c>
      <c r="K29" s="31">
        <f t="shared" si="2"/>
        <v>197</v>
      </c>
      <c r="L29" s="26">
        <f t="shared" si="0"/>
        <v>65.666666666666671</v>
      </c>
      <c r="M29" s="31" t="str">
        <f t="shared" si="3"/>
        <v>C</v>
      </c>
    </row>
    <row r="30" spans="1:13" x14ac:dyDescent="0.25">
      <c r="A30" s="20" t="s">
        <v>15</v>
      </c>
      <c r="B30" s="8"/>
      <c r="C30" s="8"/>
      <c r="D30" s="8"/>
      <c r="E30" s="8"/>
      <c r="F30" s="1">
        <f>VLOOKUP(C8,'3rd Term'!B9:AN48,24,FALSE)</f>
        <v>25</v>
      </c>
      <c r="G30" s="31">
        <f>VLOOKUP(C8,'3rd Term'!B9:AN48,25,FALSE)</f>
        <v>25</v>
      </c>
      <c r="H30" s="31">
        <f t="shared" si="1"/>
        <v>50</v>
      </c>
      <c r="I30" s="31">
        <f>(VLOOKUP(C8,'2nd Term'!B9:AN48,24,FALSE))+(VLOOKUP(C8,'2nd Term'!B9:AN48,25,FALSE))</f>
        <v>50</v>
      </c>
      <c r="J30" s="31">
        <f>(VLOOKUP($C$8,'1st Term'!$B$9:$AN$48,24,FALSE))+(VLOOKUP($C$8,'1st Term'!$B$9:$AN$48,25,FALSE))</f>
        <v>70</v>
      </c>
      <c r="K30" s="31">
        <f t="shared" si="2"/>
        <v>170</v>
      </c>
      <c r="L30" s="26">
        <f t="shared" si="0"/>
        <v>56.666666666666664</v>
      </c>
      <c r="M30" s="31" t="str">
        <f t="shared" si="3"/>
        <v>C</v>
      </c>
    </row>
    <row r="31" spans="1:13" hidden="1" x14ac:dyDescent="0.25">
      <c r="A31" s="20" t="s">
        <v>22</v>
      </c>
      <c r="B31" s="8"/>
      <c r="C31" s="8"/>
      <c r="D31" s="8"/>
      <c r="E31" s="8"/>
      <c r="F31" s="1">
        <f>VLOOKUP(C8,'3rd Term'!B9:AN48,26,FALSE)</f>
        <v>0</v>
      </c>
      <c r="G31" s="31">
        <f>VLOOKUP(C8,'3rd Term'!B9:AN48,27,FALSE)</f>
        <v>0</v>
      </c>
      <c r="H31" s="31">
        <f t="shared" si="1"/>
        <v>0</v>
      </c>
      <c r="I31" s="31">
        <f>(VLOOKUP(C8,'2nd Term'!B9:AN48,26,FALSE))+(VLOOKUP(C8,'2nd Term'!B9:AN48,27,FALSE))</f>
        <v>0</v>
      </c>
      <c r="J31" s="31">
        <f>(VLOOKUP($C$8,'1st Term'!$B$9:$AN$48,26,FALSE))+(VLOOKUP($C$8,'1st Term'!$B$9:$AN$48,27,FALSE))</f>
        <v>0</v>
      </c>
      <c r="K31" s="31" t="str">
        <f t="shared" si="2"/>
        <v>-</v>
      </c>
      <c r="L31" s="26" t="str">
        <f t="shared" si="0"/>
        <v>-</v>
      </c>
      <c r="M31" s="31" t="str">
        <f t="shared" si="3"/>
        <v>-</v>
      </c>
    </row>
    <row r="32" spans="1:13" x14ac:dyDescent="0.25">
      <c r="A32" s="20" t="s">
        <v>16</v>
      </c>
      <c r="B32" s="8"/>
      <c r="C32" s="8"/>
      <c r="D32" s="8"/>
      <c r="E32" s="8"/>
      <c r="F32" s="1">
        <f>VLOOKUP(C8,'3rd Term'!B9:AN48,28,FALSE)</f>
        <v>15</v>
      </c>
      <c r="G32" s="31">
        <f>VLOOKUP(C8,'3rd Term'!B9:AN48,29,FALSE)</f>
        <v>12</v>
      </c>
      <c r="H32" s="31">
        <f t="shared" si="1"/>
        <v>27</v>
      </c>
      <c r="I32" s="31">
        <f>(VLOOKUP(C8,'2nd Term'!B9:AN48,28,FALSE))+(VLOOKUP(C8,'2nd Term'!B9:AN48,29,FALSE))</f>
        <v>37</v>
      </c>
      <c r="J32" s="31">
        <f>(VLOOKUP($C$8,'1st Term'!$B$9:$AN$48,28,FALSE))+(VLOOKUP($C$8,'1st Term'!$B$9:$AN$48,29,FALSE))</f>
        <v>51</v>
      </c>
      <c r="K32" s="31">
        <f t="shared" si="2"/>
        <v>115</v>
      </c>
      <c r="L32" s="26">
        <f t="shared" si="0"/>
        <v>38.333333333333336</v>
      </c>
      <c r="M32" s="31" t="str">
        <f t="shared" si="3"/>
        <v>F</v>
      </c>
    </row>
    <row r="33" spans="1:13" x14ac:dyDescent="0.25">
      <c r="A33" s="20" t="s">
        <v>17</v>
      </c>
      <c r="B33" s="8"/>
      <c r="C33" s="8"/>
      <c r="D33" s="8"/>
      <c r="E33" s="8"/>
      <c r="F33" s="1">
        <f>VLOOKUP(C8,'3rd Term'!B9:AN48,30,FALSE)</f>
        <v>30</v>
      </c>
      <c r="G33" s="31">
        <f>VLOOKUP(C8,'3rd Term'!B9:AN48,31,FALSE)</f>
        <v>21</v>
      </c>
      <c r="H33" s="31">
        <f t="shared" si="1"/>
        <v>51</v>
      </c>
      <c r="I33" s="31">
        <f>(VLOOKUP(C8,'2nd Term'!B9:AN48,30,FALSE))+(VLOOKUP(C8,'2nd Term'!B9:AN48,31,FALSE))</f>
        <v>36</v>
      </c>
      <c r="J33" s="31">
        <f>(VLOOKUP($C$8,'1st Term'!$B$9:$AN$48,30,FALSE))+(VLOOKUP($C$8,'1st Term'!$B$9:$AN$48,31,FALSE))</f>
        <v>68</v>
      </c>
      <c r="K33" s="31">
        <f t="shared" si="2"/>
        <v>155</v>
      </c>
      <c r="L33" s="26">
        <f t="shared" si="0"/>
        <v>51.666666666666664</v>
      </c>
      <c r="M33" s="31" t="str">
        <f t="shared" si="3"/>
        <v>C</v>
      </c>
    </row>
    <row r="34" spans="1:13" x14ac:dyDescent="0.25">
      <c r="A34" s="20" t="s">
        <v>18</v>
      </c>
      <c r="B34" s="8"/>
      <c r="C34" s="8"/>
      <c r="D34" s="8"/>
      <c r="E34" s="8"/>
      <c r="F34" s="1">
        <f>VLOOKUP(C8,'3rd Term'!B9:AN48,32,FALSE)</f>
        <v>22</v>
      </c>
      <c r="G34" s="31">
        <f>VLOOKUP(C8,'3rd Term'!B9:AN48,33,FALSE)</f>
        <v>30</v>
      </c>
      <c r="H34" s="31">
        <f t="shared" si="1"/>
        <v>52</v>
      </c>
      <c r="I34" s="31">
        <f>(VLOOKUP(C8,'2nd Term'!B9:AN48,32,FALSE))+(VLOOKUP(C8,'2nd Term'!B9:AN48,33,FALSE))</f>
        <v>57</v>
      </c>
      <c r="J34" s="31">
        <f>(VLOOKUP($C$8,'1st Term'!$B$9:$AN$48,32,FALSE))+(VLOOKUP($C$8,'1st Term'!$B$9:$AN$48,33,FALSE))</f>
        <v>55</v>
      </c>
      <c r="K34" s="31">
        <f t="shared" si="2"/>
        <v>164</v>
      </c>
      <c r="L34" s="26">
        <f t="shared" si="0"/>
        <v>54.666666666666664</v>
      </c>
      <c r="M34" s="31" t="str">
        <f t="shared" si="3"/>
        <v>C</v>
      </c>
    </row>
    <row r="35" spans="1:13" x14ac:dyDescent="0.25">
      <c r="A35" s="20" t="s">
        <v>19</v>
      </c>
      <c r="B35" s="8"/>
      <c r="C35" s="8"/>
      <c r="D35" s="8"/>
      <c r="E35" s="8"/>
      <c r="F35" s="1">
        <f>VLOOKUP(C8,'3rd Term'!B9:AN48,34,FALSE)</f>
        <v>19</v>
      </c>
      <c r="G35" s="31">
        <f>VLOOKUP(C8,'3rd Term'!B9:AN48,35,FALSE)</f>
        <v>30</v>
      </c>
      <c r="H35" s="31">
        <f t="shared" si="1"/>
        <v>49</v>
      </c>
      <c r="I35" s="31">
        <f>(VLOOKUP(C8,'2nd Term'!B9:AN48,34,FALSE))+(VLOOKUP(C8,'2nd Term'!B9:AN48,35,FALSE))</f>
        <v>41</v>
      </c>
      <c r="J35" s="31">
        <f>(VLOOKUP($C$8,'1st Term'!$B$9:$AN$48,34,FALSE))+(VLOOKUP($C$8,'1st Term'!$B$9:$AN$48,35,FALSE))</f>
        <v>53</v>
      </c>
      <c r="K35" s="31">
        <f t="shared" si="2"/>
        <v>143</v>
      </c>
      <c r="L35" s="26">
        <f t="shared" si="0"/>
        <v>47.666666666666664</v>
      </c>
      <c r="M35" s="31" t="str">
        <f t="shared" si="3"/>
        <v>P</v>
      </c>
    </row>
    <row r="36" spans="1:13" x14ac:dyDescent="0.25">
      <c r="A36" s="20" t="s">
        <v>20</v>
      </c>
      <c r="B36" s="8"/>
      <c r="C36" s="8"/>
      <c r="D36" s="8"/>
      <c r="E36" s="8"/>
      <c r="F36" s="1">
        <f>VLOOKUP(C8,'3rd Term'!B9:AN48,36,FALSE)</f>
        <v>20</v>
      </c>
      <c r="G36" s="31">
        <f>VLOOKUP(C8,'3rd Term'!B9:AN48,37,FALSE)</f>
        <v>46</v>
      </c>
      <c r="H36" s="31">
        <f t="shared" si="1"/>
        <v>66</v>
      </c>
      <c r="I36" s="31">
        <f>(VLOOKUP(C8,'2nd Term'!B9:AN48,36,FALSE))+(VLOOKUP(C8,'2nd Term'!B9:AN48,37,FALSE))</f>
        <v>47</v>
      </c>
      <c r="J36" s="31">
        <f>(VLOOKUP($C$8,'1st Term'!$B$9:$AN$48,36,FALSE))+(VLOOKUP($C$8,'1st Term'!$B$9:$AN$48,37,FALSE))</f>
        <v>33</v>
      </c>
      <c r="K36" s="31">
        <f t="shared" si="2"/>
        <v>146</v>
      </c>
      <c r="L36" s="26">
        <f t="shared" si="0"/>
        <v>48.666666666666664</v>
      </c>
      <c r="M36" s="31" t="str">
        <f t="shared" si="3"/>
        <v>P</v>
      </c>
    </row>
    <row r="37" spans="1:13" x14ac:dyDescent="0.25">
      <c r="A37" s="18" t="s">
        <v>21</v>
      </c>
      <c r="B37" s="7"/>
      <c r="C37" s="7"/>
      <c r="D37" s="7"/>
      <c r="E37" s="7"/>
      <c r="F37" s="57">
        <f>VLOOKUP(C8,'3rd Term'!B9:AN48,38,FALSE)</f>
        <v>12</v>
      </c>
      <c r="G37" s="31">
        <f>VLOOKUP(C8,'3rd Term'!B9:AN48,39,FALSE)</f>
        <v>16</v>
      </c>
      <c r="H37" s="31">
        <f t="shared" si="1"/>
        <v>28</v>
      </c>
      <c r="I37" s="31">
        <f>(VLOOKUP(C8,'2nd Term'!B9:AN48,38,FALSE))+(VLOOKUP(C8,'2nd Term'!B9:AN48,39,FALSE))</f>
        <v>42</v>
      </c>
      <c r="J37" s="31">
        <f>(VLOOKUP($C$8,'1st Term'!$B$9:$AN$48,38,FALSE))+(VLOOKUP($C$8,'1st Term'!$B$9:$AN$48,39,FALSE))</f>
        <v>38</v>
      </c>
      <c r="K37" s="31">
        <f t="shared" si="2"/>
        <v>108</v>
      </c>
      <c r="L37" s="26">
        <f t="shared" si="0"/>
        <v>36</v>
      </c>
      <c r="M37" s="31" t="str">
        <f t="shared" si="3"/>
        <v>F</v>
      </c>
    </row>
    <row r="43" spans="1:13" x14ac:dyDescent="0.25">
      <c r="G43" s="110" t="s">
        <v>62</v>
      </c>
      <c r="H43" s="110"/>
      <c r="I43" s="110"/>
      <c r="J43" s="110"/>
      <c r="K43" s="110"/>
      <c r="L43" s="110"/>
      <c r="M43" s="110"/>
    </row>
    <row r="44" spans="1:13" x14ac:dyDescent="0.25">
      <c r="A44" s="77" t="s">
        <v>58</v>
      </c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</row>
    <row r="45" spans="1:13" ht="12.75" customHeight="1" x14ac:dyDescent="0.25">
      <c r="A45" s="50" t="str">
        <f>VLOOKUP(C8,comments!B8:X47,7,0)</f>
        <v>She is improving gradually but needs to participate more in class discussions.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</row>
    <row r="46" spans="1:13" x14ac:dyDescent="0.25">
      <c r="A46" s="50"/>
      <c r="B46" s="50"/>
      <c r="C46" s="50"/>
      <c r="D46" s="50"/>
      <c r="E46" s="50"/>
      <c r="F46" s="78"/>
      <c r="G46" s="78"/>
      <c r="H46" s="78"/>
      <c r="I46" s="78"/>
      <c r="J46" s="78"/>
      <c r="K46" s="78"/>
      <c r="L46" s="78"/>
      <c r="M46" s="78"/>
    </row>
    <row r="47" spans="1:13" x14ac:dyDescent="0.25">
      <c r="A47" s="79" t="s">
        <v>60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</row>
    <row r="48" spans="1:13" ht="12" customHeight="1" x14ac:dyDescent="0.25">
      <c r="A48" s="50" t="str">
        <f>VLOOKUP(C8,comments!B8:X47,14,0)</f>
        <v>Just fair. You can improve if only you will be more regular at school next term. Promoted to the Next Class.</v>
      </c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</row>
    <row r="49" spans="1:13" x14ac:dyDescent="0.25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</row>
    <row r="50" spans="1:13" x14ac:dyDescent="0.25">
      <c r="A50" s="79" t="s">
        <v>59</v>
      </c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</row>
    <row r="51" spans="1:13" ht="12" customHeight="1" x14ac:dyDescent="0.25">
      <c r="A51" s="78" t="s">
        <v>61</v>
      </c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</row>
  </sheetData>
  <sheetProtection algorithmName="SHA-512" hashValue="g6UlWLA/AJdM9ZBs7Zrnog/r/xQI2Am4BZ4SAi4ZPRI1/d0M/efPCXuMq+5C7tJ2evruyQUzdJ0jlXCIeTLLIg==" saltValue="1WAkqZhWj7J+0enTK9IW0Q==" spinCount="100000" sheet="1" scenarios="1"/>
  <mergeCells count="13">
    <mergeCell ref="I14:I17"/>
    <mergeCell ref="A18:B18"/>
    <mergeCell ref="G43:M43"/>
    <mergeCell ref="B1:M2"/>
    <mergeCell ref="B3:M3"/>
    <mergeCell ref="B4:M4"/>
    <mergeCell ref="B5:M6"/>
    <mergeCell ref="K7:M12"/>
    <mergeCell ref="A8:B8"/>
    <mergeCell ref="A9:B9"/>
    <mergeCell ref="A10:B10"/>
    <mergeCell ref="A11:B11"/>
    <mergeCell ref="A12:B12"/>
  </mergeCells>
  <conditionalFormatting sqref="M19:M37">
    <cfRule type="cellIs" dxfId="79" priority="3" operator="equal">
      <formula>"F"</formula>
    </cfRule>
    <cfRule type="cellIs" dxfId="78" priority="4" operator="equal">
      <formula>"P"</formula>
    </cfRule>
    <cfRule type="cellIs" dxfId="77" priority="5" operator="equal">
      <formula>"C"</formula>
    </cfRule>
    <cfRule type="cellIs" dxfId="76" priority="6" operator="equal">
      <formula>"A"</formula>
    </cfRule>
  </conditionalFormatting>
  <conditionalFormatting sqref="F19:J37">
    <cfRule type="cellIs" dxfId="75" priority="1" operator="equal">
      <formula>0</formula>
    </cfRule>
    <cfRule type="colorScale" priority="2">
      <colorScale>
        <cfvo type="min"/>
        <cfvo type="num" val="0"/>
        <color rgb="FFFF7128"/>
        <color theme="0"/>
      </colorScale>
    </cfRule>
  </conditionalFormatting>
  <dataValidations count="1">
    <dataValidation type="list" allowBlank="1" showInputMessage="1" showErrorMessage="1" sqref="M14:M17" xr:uid="{58092925-C983-4CFE-AD84-017B9D1EB959}">
      <formula1>"A,B,C,D,E"</formula1>
    </dataValidation>
  </dataValidations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8235F-D11A-4ECF-8063-2DB80631F060}">
  <sheetPr>
    <tabColor rgb="FF7030A0"/>
  </sheetPr>
  <dimension ref="A1:M51"/>
  <sheetViews>
    <sheetView workbookViewId="0">
      <selection activeCell="O11" sqref="O11"/>
    </sheetView>
  </sheetViews>
  <sheetFormatPr defaultRowHeight="15" x14ac:dyDescent="0.25"/>
  <cols>
    <col min="3" max="3" width="8.140625" customWidth="1"/>
    <col min="4" max="4" width="9.42578125" customWidth="1"/>
    <col min="5" max="5" width="10.5703125" customWidth="1"/>
    <col min="6" max="6" width="6.28515625" customWidth="1"/>
    <col min="7" max="8" width="5.85546875" customWidth="1"/>
    <col min="9" max="9" width="5.5703125" customWidth="1"/>
    <col min="10" max="11" width="5.28515625" customWidth="1"/>
    <col min="12" max="12" width="6.28515625" customWidth="1"/>
    <col min="13" max="13" width="5.7109375" customWidth="1"/>
  </cols>
  <sheetData>
    <row r="1" spans="1:13" ht="15" customHeight="1" x14ac:dyDescent="0.25">
      <c r="A1" s="10"/>
      <c r="B1" s="116" t="s">
        <v>185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</row>
    <row r="2" spans="1:13" ht="15" customHeight="1" x14ac:dyDescent="0.25">
      <c r="A2" s="10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</row>
    <row r="3" spans="1:13" ht="15.75" x14ac:dyDescent="0.25">
      <c r="A3" s="10"/>
      <c r="B3" s="117" t="s">
        <v>184</v>
      </c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</row>
    <row r="4" spans="1:13" ht="15.75" x14ac:dyDescent="0.25">
      <c r="A4" s="10"/>
      <c r="B4" s="118" t="s">
        <v>186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</row>
    <row r="5" spans="1:13" ht="15" customHeight="1" x14ac:dyDescent="0.25">
      <c r="A5" s="10"/>
      <c r="B5" s="119" t="s">
        <v>36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</row>
    <row r="6" spans="1:13" ht="15" customHeight="1" x14ac:dyDescent="0.25">
      <c r="A6" s="10"/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</row>
    <row r="7" spans="1:13" ht="15" customHeight="1" x14ac:dyDescent="0.25">
      <c r="I7" s="10"/>
      <c r="J7" s="10"/>
      <c r="K7" s="122" t="s">
        <v>105</v>
      </c>
      <c r="L7" s="122"/>
      <c r="M7" s="122"/>
    </row>
    <row r="8" spans="1:13" x14ac:dyDescent="0.25">
      <c r="A8" s="120" t="s">
        <v>37</v>
      </c>
      <c r="B8" s="120"/>
      <c r="C8" s="29" t="str">
        <f>('1st Term'!B16)</f>
        <v>ENEJOH PHINEHAS</v>
      </c>
      <c r="D8" s="8"/>
      <c r="E8" s="8"/>
      <c r="F8" s="8"/>
      <c r="G8" s="8"/>
      <c r="H8" s="9"/>
      <c r="I8" s="10"/>
      <c r="J8" s="10"/>
      <c r="K8" s="122"/>
      <c r="L8" s="122"/>
      <c r="M8" s="122"/>
    </row>
    <row r="9" spans="1:13" x14ac:dyDescent="0.25">
      <c r="A9" s="121" t="s">
        <v>38</v>
      </c>
      <c r="B9" s="115"/>
      <c r="C9" s="29" t="str">
        <f>('1st Term'!B7)</f>
        <v>JSS 1A</v>
      </c>
      <c r="D9" s="8"/>
      <c r="E9" s="8"/>
      <c r="F9" s="8"/>
      <c r="G9" s="8"/>
      <c r="H9" s="9"/>
      <c r="I9" s="10"/>
      <c r="J9" s="10"/>
      <c r="K9" s="122"/>
      <c r="L9" s="122"/>
      <c r="M9" s="122"/>
    </row>
    <row r="10" spans="1:13" x14ac:dyDescent="0.25">
      <c r="A10" s="121" t="s">
        <v>39</v>
      </c>
      <c r="B10" s="115"/>
      <c r="C10" s="29" t="str">
        <f>(comments!C4)</f>
        <v>2025/2026</v>
      </c>
      <c r="D10" s="8"/>
      <c r="E10" s="8"/>
      <c r="F10" s="43"/>
      <c r="G10" s="43"/>
      <c r="H10" s="9"/>
      <c r="I10" s="10"/>
      <c r="J10" s="10"/>
      <c r="K10" s="122"/>
      <c r="L10" s="122"/>
      <c r="M10" s="122"/>
    </row>
    <row r="11" spans="1:13" x14ac:dyDescent="0.25">
      <c r="A11" s="121" t="s">
        <v>40</v>
      </c>
      <c r="B11" s="115"/>
      <c r="C11" s="30" t="str">
        <f>(comments!B5)</f>
        <v>THIRD TERM</v>
      </c>
      <c r="D11" s="7"/>
      <c r="E11" s="7"/>
      <c r="F11" s="13" t="s">
        <v>167</v>
      </c>
      <c r="G11" s="8"/>
      <c r="H11" s="53">
        <f>INDEX(comments!D8:D47,MATCH(sheet8!C8,comments!B8:B47,0))</f>
        <v>49.196078431372548</v>
      </c>
      <c r="I11" s="10"/>
      <c r="J11" s="10"/>
      <c r="K11" s="122"/>
      <c r="L11" s="122"/>
      <c r="M11" s="122"/>
    </row>
    <row r="12" spans="1:13" x14ac:dyDescent="0.25">
      <c r="A12" s="114" t="s">
        <v>41</v>
      </c>
      <c r="B12" s="115"/>
      <c r="C12" s="30" t="str">
        <f>(comments!E6)</f>
        <v>20TH APRIL 2026</v>
      </c>
      <c r="D12" s="7"/>
      <c r="E12" s="7"/>
      <c r="F12" s="13" t="s">
        <v>44</v>
      </c>
      <c r="G12" s="8"/>
      <c r="H12" s="51" t="str">
        <f>INDEX(comments!E8:E47,MATCH(sheet8!C8,comments!B8:B47,0))</f>
        <v>15th</v>
      </c>
      <c r="I12" s="10"/>
      <c r="J12" s="10"/>
      <c r="K12" s="123"/>
      <c r="L12" s="123"/>
      <c r="M12" s="123"/>
    </row>
    <row r="13" spans="1:13" x14ac:dyDescent="0.25">
      <c r="A13" s="48"/>
      <c r="B13" s="49"/>
      <c r="C13" s="50"/>
      <c r="F13" s="25"/>
      <c r="H13" s="52"/>
      <c r="I13" s="10"/>
      <c r="J13" s="10"/>
      <c r="K13" s="54"/>
      <c r="L13" s="54"/>
      <c r="M13" s="54"/>
    </row>
    <row r="14" spans="1:13" ht="16.5" customHeight="1" x14ac:dyDescent="0.25">
      <c r="A14" s="16" t="s">
        <v>48</v>
      </c>
      <c r="B14" s="8"/>
      <c r="C14" s="8"/>
      <c r="D14" s="13" t="s">
        <v>49</v>
      </c>
      <c r="E14" s="8"/>
      <c r="F14" s="8"/>
      <c r="G14" s="8"/>
      <c r="H14" s="15"/>
      <c r="I14" s="113" t="s">
        <v>50</v>
      </c>
      <c r="J14" s="45" t="s">
        <v>32</v>
      </c>
      <c r="K14" s="44"/>
      <c r="L14" s="17"/>
      <c r="M14" s="44" t="s">
        <v>52</v>
      </c>
    </row>
    <row r="15" spans="1:13" ht="21" customHeight="1" x14ac:dyDescent="0.25">
      <c r="A15" s="11" t="s">
        <v>46</v>
      </c>
      <c r="B15" s="7"/>
      <c r="C15" s="7"/>
      <c r="D15" s="55">
        <f>(comments!C6)</f>
        <v>110</v>
      </c>
      <c r="E15" s="8"/>
      <c r="F15" s="8"/>
      <c r="G15" s="8"/>
      <c r="H15" s="14"/>
      <c r="I15" s="113"/>
      <c r="J15" s="45" t="s">
        <v>33</v>
      </c>
      <c r="K15" s="44"/>
      <c r="L15" s="17"/>
      <c r="M15" s="44" t="s">
        <v>51</v>
      </c>
    </row>
    <row r="16" spans="1:13" ht="18.75" customHeight="1" x14ac:dyDescent="0.25">
      <c r="A16" s="12" t="s">
        <v>47</v>
      </c>
      <c r="B16" s="8"/>
      <c r="C16" s="8"/>
      <c r="D16" s="56">
        <f>VLOOKUP(C8,comments!B8:C47,2,FALSE)</f>
        <v>0</v>
      </c>
      <c r="E16" s="8"/>
      <c r="F16" s="8"/>
      <c r="G16" s="8"/>
      <c r="H16" s="14"/>
      <c r="I16" s="113"/>
      <c r="J16" s="45" t="s">
        <v>34</v>
      </c>
      <c r="K16" s="44"/>
      <c r="L16" s="17"/>
      <c r="M16" s="44" t="s">
        <v>51</v>
      </c>
    </row>
    <row r="17" spans="1:13" ht="17.25" customHeight="1" x14ac:dyDescent="0.25">
      <c r="A17" s="11" t="s">
        <v>45</v>
      </c>
      <c r="B17" s="7"/>
      <c r="C17" s="7"/>
      <c r="D17" s="56">
        <f>(comments!D6)</f>
        <v>22</v>
      </c>
      <c r="E17" s="8"/>
      <c r="F17" s="8"/>
      <c r="G17" s="8"/>
      <c r="H17" s="14"/>
      <c r="I17" s="113"/>
      <c r="J17" s="47" t="s">
        <v>35</v>
      </c>
      <c r="K17" s="46"/>
      <c r="L17" s="40"/>
      <c r="M17" s="44" t="s">
        <v>52</v>
      </c>
    </row>
    <row r="18" spans="1:13" ht="61.5" customHeight="1" x14ac:dyDescent="0.25">
      <c r="A18" s="111" t="s">
        <v>53</v>
      </c>
      <c r="B18" s="112"/>
      <c r="C18" s="19"/>
      <c r="D18" s="19"/>
      <c r="E18" s="19"/>
      <c r="F18" s="41" t="s">
        <v>172</v>
      </c>
      <c r="G18" s="41" t="s">
        <v>171</v>
      </c>
      <c r="H18" s="41" t="s">
        <v>173</v>
      </c>
      <c r="I18" s="42" t="s">
        <v>174</v>
      </c>
      <c r="J18" s="42" t="s">
        <v>175</v>
      </c>
      <c r="K18" s="41" t="s">
        <v>165</v>
      </c>
      <c r="L18" s="41" t="s">
        <v>166</v>
      </c>
      <c r="M18" s="41" t="s">
        <v>54</v>
      </c>
    </row>
    <row r="19" spans="1:13" ht="15" customHeight="1" x14ac:dyDescent="0.25">
      <c r="A19" s="20" t="s">
        <v>6</v>
      </c>
      <c r="B19" s="8"/>
      <c r="C19" s="8"/>
      <c r="D19" s="8"/>
      <c r="E19" s="8"/>
      <c r="F19" s="31">
        <f>VLOOKUP(C8,'3rd Term'!B9:AN48,2,FALSE)</f>
        <v>21</v>
      </c>
      <c r="G19" s="31">
        <f>VLOOKUP(C8,'3rd Term'!B9:AN48,3,FALSE)</f>
        <v>64</v>
      </c>
      <c r="H19" s="31">
        <f>SUM(F19:G19)</f>
        <v>85</v>
      </c>
      <c r="I19" s="5">
        <f>(VLOOKUP(C8,'2nd Term'!B9:AN48,2,FALSE))+(VLOOKUP(C8,'2nd Term'!B9:AN48,3,FALSE))</f>
        <v>70</v>
      </c>
      <c r="J19" s="31">
        <f>(VLOOKUP($C$8,'1st Term'!$B$9:$AN$48,2,FALSE))+(VLOOKUP($C$8,'1st Term'!$B$9:$AN$48,3,FALSE))</f>
        <v>67</v>
      </c>
      <c r="K19" s="31">
        <f>IF(SUM(H19:J19)=0,"-",SUM(H19:J19))</f>
        <v>222</v>
      </c>
      <c r="L19" s="26">
        <f t="shared" ref="L19:L37" si="0">IFERROR(((H19)+(I19)+(J19))/((--(H19&gt;0))+(--(I19&gt;0))+(--(J19&gt;0))),"-")</f>
        <v>74</v>
      </c>
      <c r="M19" s="31" t="str">
        <f>IF(L19="-","-",IF(L19&gt;=70,"A",IF(L19&gt;=50,"C",IF(L19&gt;=40,"P","F"))))</f>
        <v>A</v>
      </c>
    </row>
    <row r="20" spans="1:13" ht="15" customHeight="1" x14ac:dyDescent="0.25">
      <c r="A20" s="20" t="s">
        <v>3</v>
      </c>
      <c r="B20" s="8"/>
      <c r="C20" s="8"/>
      <c r="D20" s="8"/>
      <c r="E20" s="8"/>
      <c r="F20" s="1">
        <f>VLOOKUP(C8,'3rd Term'!B9:AN48,4,FALSE)</f>
        <v>22</v>
      </c>
      <c r="G20" s="31">
        <f>VLOOKUP(C8,'3rd Term'!B9:AN48,5,FALSE)</f>
        <v>45</v>
      </c>
      <c r="H20" s="31">
        <f t="shared" ref="H20:H37" si="1">SUM(F20:G20)</f>
        <v>67</v>
      </c>
      <c r="I20" s="31">
        <f>(VLOOKUP(C8,'2nd Term'!B9:AN48,4,FALSE))+(VLOOKUP(C8,'2nd Term'!B9:AN48,5,FALSE))</f>
        <v>55</v>
      </c>
      <c r="J20" s="31">
        <f>(VLOOKUP($C$8,'1st Term'!$B$9:$AN$48,4,FALSE))+(VLOOKUP($C$8,'1st Term'!$B$9:$AN$48,5,FALSE))</f>
        <v>46</v>
      </c>
      <c r="K20" s="31">
        <f t="shared" ref="K20:K37" si="2">IF(SUM(H20:J20)=0,"-",SUM(H20:J20))</f>
        <v>168</v>
      </c>
      <c r="L20" s="26">
        <f t="shared" si="0"/>
        <v>56</v>
      </c>
      <c r="M20" s="31" t="str">
        <f t="shared" ref="M20:M37" si="3">IF(L20="-","-",IF(L20&gt;=70,"A",IF(L20&gt;=50,"C",IF(L20&gt;=40,"P","F"))))</f>
        <v>C</v>
      </c>
    </row>
    <row r="21" spans="1:13" ht="15" customHeight="1" x14ac:dyDescent="0.25">
      <c r="A21" s="20" t="s">
        <v>4</v>
      </c>
      <c r="B21" s="8"/>
      <c r="C21" s="8"/>
      <c r="D21" s="8"/>
      <c r="E21" s="8"/>
      <c r="F21" s="1">
        <f>VLOOKUP(C8,'3rd Term'!B9:AN48,6,FALSE)</f>
        <v>20</v>
      </c>
      <c r="G21" s="31">
        <f>VLOOKUP(C8,'3rd Term'!B9:AN48,7,FALSE)</f>
        <v>48</v>
      </c>
      <c r="H21" s="31">
        <f t="shared" si="1"/>
        <v>68</v>
      </c>
      <c r="I21" s="31">
        <f>(VLOOKUP(C8,'2nd Term'!B9:AN48,6,FALSE))+(VLOOKUP(C8,'2nd Term'!B9:AN48,7,FALSE))</f>
        <v>71</v>
      </c>
      <c r="J21" s="31">
        <f>(VLOOKUP($C$8,'1st Term'!$B$9:$AN$48,6,FALSE))+(VLOOKUP($C$8,'1st Term'!$B$9:$AN$48,7,FALSE))</f>
        <v>32</v>
      </c>
      <c r="K21" s="31">
        <f t="shared" si="2"/>
        <v>171</v>
      </c>
      <c r="L21" s="26">
        <f t="shared" si="0"/>
        <v>57</v>
      </c>
      <c r="M21" s="31" t="str">
        <f t="shared" si="3"/>
        <v>C</v>
      </c>
    </row>
    <row r="22" spans="1:13" ht="15" customHeight="1" x14ac:dyDescent="0.25">
      <c r="A22" s="20" t="s">
        <v>5</v>
      </c>
      <c r="B22" s="8"/>
      <c r="C22" s="8"/>
      <c r="D22" s="8"/>
      <c r="E22" s="8"/>
      <c r="F22" s="1">
        <f>VLOOKUP(C8,'3rd Term'!B9:AN48,8,FALSE)</f>
        <v>20</v>
      </c>
      <c r="G22" s="31">
        <f>VLOOKUP(C8,'3rd Term'!B9:AN48,9,FALSE)</f>
        <v>32</v>
      </c>
      <c r="H22" s="31">
        <f t="shared" si="1"/>
        <v>52</v>
      </c>
      <c r="I22" s="31">
        <f>(VLOOKUP(C8,'2nd Term'!B9:AN48,8,FALSE))+(VLOOKUP(C8,'2nd Term'!B9:AN48,9,FALSE))</f>
        <v>42</v>
      </c>
      <c r="J22" s="31">
        <f>(VLOOKUP($C$8,'1st Term'!$B$9:$AN$48,8,FALSE))+(VLOOKUP($C$8,'1st Term'!$B$9:$AN$48,9,FALSE))</f>
        <v>30</v>
      </c>
      <c r="K22" s="31">
        <f t="shared" si="2"/>
        <v>124</v>
      </c>
      <c r="L22" s="26">
        <f t="shared" si="0"/>
        <v>41.333333333333336</v>
      </c>
      <c r="M22" s="31" t="str">
        <f t="shared" si="3"/>
        <v>P</v>
      </c>
    </row>
    <row r="23" spans="1:13" ht="15" customHeight="1" x14ac:dyDescent="0.25">
      <c r="A23" s="20" t="s">
        <v>7</v>
      </c>
      <c r="B23" s="8"/>
      <c r="C23" s="8"/>
      <c r="D23" s="8"/>
      <c r="E23" s="8"/>
      <c r="F23" s="1">
        <f>VLOOKUP(C8,'3rd Term'!B9:AN48,10,FALSE)</f>
        <v>21</v>
      </c>
      <c r="G23" s="31">
        <f>VLOOKUP(C8,'3rd Term'!B9:AN48,11,FALSE)</f>
        <v>30</v>
      </c>
      <c r="H23" s="31">
        <f t="shared" si="1"/>
        <v>51</v>
      </c>
      <c r="I23" s="31">
        <f>(VLOOKUP(C8,'2nd Term'!B9:AN48,10,FALSE))+(VLOOKUP(C8,'2nd Term'!B9:AN48,11,FALSE))</f>
        <v>49</v>
      </c>
      <c r="J23" s="31">
        <f>(VLOOKUP($C$8,'1st Term'!$B$9:$AN$48,10,FALSE))+(VLOOKUP($C$8,'1st Term'!$B$9:$AN$48,11,FALSE))</f>
        <v>40</v>
      </c>
      <c r="K23" s="31">
        <f t="shared" si="2"/>
        <v>140</v>
      </c>
      <c r="L23" s="26">
        <f t="shared" si="0"/>
        <v>46.666666666666664</v>
      </c>
      <c r="M23" s="31" t="str">
        <f t="shared" si="3"/>
        <v>P</v>
      </c>
    </row>
    <row r="24" spans="1:13" ht="15" customHeight="1" x14ac:dyDescent="0.25">
      <c r="A24" s="20" t="s">
        <v>8</v>
      </c>
      <c r="B24" s="8"/>
      <c r="C24" s="8"/>
      <c r="D24" s="8"/>
      <c r="E24" s="8"/>
      <c r="F24" s="1">
        <f>VLOOKUP(C8,'3rd Term'!B9:AN48,12,FALSE)</f>
        <v>26</v>
      </c>
      <c r="G24" s="31">
        <f>VLOOKUP(C8,'3rd Term'!B9:AN48,13,FALSE)</f>
        <v>46</v>
      </c>
      <c r="H24" s="31">
        <f t="shared" si="1"/>
        <v>72</v>
      </c>
      <c r="I24" s="31">
        <f>(VLOOKUP(C8,'2nd Term'!B9:AN48,12,FALSE))+(VLOOKUP(C8,'2nd Term'!B9:AN48,13,FALSE))</f>
        <v>35</v>
      </c>
      <c r="J24" s="31">
        <f>(VLOOKUP($C$8,'1st Term'!$B$9:$AN$48,12,FALSE))+(VLOOKUP($C$8,'1st Term'!$B$9:$AN$48,13,FALSE))</f>
        <v>47</v>
      </c>
      <c r="K24" s="31">
        <f t="shared" si="2"/>
        <v>154</v>
      </c>
      <c r="L24" s="26">
        <f t="shared" si="0"/>
        <v>51.333333333333336</v>
      </c>
      <c r="M24" s="31" t="str">
        <f t="shared" si="3"/>
        <v>C</v>
      </c>
    </row>
    <row r="25" spans="1:13" ht="15" customHeight="1" x14ac:dyDescent="0.25">
      <c r="A25" s="20" t="s">
        <v>9</v>
      </c>
      <c r="B25" s="8"/>
      <c r="C25" s="8"/>
      <c r="D25" s="8"/>
      <c r="E25" s="8"/>
      <c r="F25" s="1">
        <f>VLOOKUP(C8,'3rd Term'!B9:AN48,14,FALSE)</f>
        <v>29</v>
      </c>
      <c r="G25" s="31">
        <f>VLOOKUP(C8,'3rd Term'!B9:AN48,15,FALSE)</f>
        <v>22</v>
      </c>
      <c r="H25" s="31">
        <f t="shared" si="1"/>
        <v>51</v>
      </c>
      <c r="I25" s="31">
        <f>(VLOOKUP(C8,'2nd Term'!B9:AN48,14,FALSE))+(VLOOKUP(C8,'2nd Term'!B9:AN48,15,FALSE))</f>
        <v>52</v>
      </c>
      <c r="J25" s="31">
        <f>(VLOOKUP($C$8,'1st Term'!$B$9:$AN$48,14,FALSE))+(VLOOKUP($C$8,'1st Term'!$B$9:$AN$48,15,FALSE))</f>
        <v>34</v>
      </c>
      <c r="K25" s="31">
        <f t="shared" si="2"/>
        <v>137</v>
      </c>
      <c r="L25" s="26">
        <f t="shared" si="0"/>
        <v>45.666666666666664</v>
      </c>
      <c r="M25" s="31" t="str">
        <f t="shared" si="3"/>
        <v>P</v>
      </c>
    </row>
    <row r="26" spans="1:13" ht="15" customHeight="1" x14ac:dyDescent="0.25">
      <c r="A26" s="20" t="s">
        <v>10</v>
      </c>
      <c r="B26" s="8"/>
      <c r="C26" s="8"/>
      <c r="D26" s="8"/>
      <c r="E26" s="8"/>
      <c r="F26" s="1">
        <f>VLOOKUP(C8,'3rd Term'!B9:AN48,16,FALSE)</f>
        <v>22</v>
      </c>
      <c r="G26" s="31">
        <f>VLOOKUP(C8,'3rd Term'!B9:AN48,17,FALSE)</f>
        <v>61</v>
      </c>
      <c r="H26" s="31">
        <f t="shared" si="1"/>
        <v>83</v>
      </c>
      <c r="I26" s="31">
        <f>(VLOOKUP(C8,'2nd Term'!B9:AN48,16,FALSE))+(VLOOKUP(C8,'2nd Term'!B9:AN48,17,FALSE))</f>
        <v>38</v>
      </c>
      <c r="J26" s="31">
        <f>(VLOOKUP($C$8,'1st Term'!$B$9:$AN$48,16,FALSE))+(VLOOKUP($C$8,'1st Term'!$B$9:$AN$48,17,FALSE))</f>
        <v>31</v>
      </c>
      <c r="K26" s="31">
        <f t="shared" si="2"/>
        <v>152</v>
      </c>
      <c r="L26" s="26">
        <f t="shared" si="0"/>
        <v>50.666666666666664</v>
      </c>
      <c r="M26" s="31" t="str">
        <f t="shared" si="3"/>
        <v>C</v>
      </c>
    </row>
    <row r="27" spans="1:13" ht="15" hidden="1" customHeight="1" x14ac:dyDescent="0.25">
      <c r="A27" s="20" t="s">
        <v>11</v>
      </c>
      <c r="B27" s="8"/>
      <c r="C27" s="8"/>
      <c r="D27" s="8"/>
      <c r="E27" s="8"/>
      <c r="F27" s="1">
        <f>VLOOKUP(C8,'3rd Term'!B9:AN48,18,FALSE)</f>
        <v>0</v>
      </c>
      <c r="G27" s="31">
        <f>VLOOKUP(C8,'3rd Term'!B9:AN48,19,FALSE)</f>
        <v>0</v>
      </c>
      <c r="H27" s="31">
        <f t="shared" si="1"/>
        <v>0</v>
      </c>
      <c r="I27" s="31">
        <f>(VLOOKUP(C8,'2nd Term'!B9:AN48,18,FALSE))+(VLOOKUP(C8,'2nd Term'!B9:AN48,19,FALSE))</f>
        <v>0</v>
      </c>
      <c r="J27" s="31">
        <f>(VLOOKUP($C$8,'1st Term'!$B$9:$AN$48,18,FALSE))+(VLOOKUP($C$8,'1st Term'!$B$9:$AN$48,19,FALSE))</f>
        <v>0</v>
      </c>
      <c r="K27" s="31" t="str">
        <f t="shared" si="2"/>
        <v>-</v>
      </c>
      <c r="L27" s="26" t="str">
        <f t="shared" si="0"/>
        <v>-</v>
      </c>
      <c r="M27" s="31" t="str">
        <f t="shared" si="3"/>
        <v>-</v>
      </c>
    </row>
    <row r="28" spans="1:13" ht="15" customHeight="1" x14ac:dyDescent="0.25">
      <c r="A28" s="20" t="s">
        <v>13</v>
      </c>
      <c r="B28" s="8"/>
      <c r="C28" s="8"/>
      <c r="D28" s="8"/>
      <c r="E28" s="8"/>
      <c r="F28" s="1">
        <f>VLOOKUP(C8,'3rd Term'!B9:AN48,20,FALSE)</f>
        <v>22</v>
      </c>
      <c r="G28" s="31">
        <f>VLOOKUP(C8,'3rd Term'!B9:AN48,21,FALSE)</f>
        <v>44</v>
      </c>
      <c r="H28" s="31">
        <f t="shared" si="1"/>
        <v>66</v>
      </c>
      <c r="I28" s="31">
        <f>(VLOOKUP(C8,'2nd Term'!B9:AN48,20,FALSE))+(VLOOKUP(C8,'2nd Term'!B9:AN48,21,FALSE))</f>
        <v>42</v>
      </c>
      <c r="J28" s="31">
        <f>(VLOOKUP($C$8,'1st Term'!$B$9:$AN$48,20,FALSE))+(VLOOKUP($C$8,'1st Term'!$B$9:$AN$48,21,FALSE))</f>
        <v>27</v>
      </c>
      <c r="K28" s="31">
        <f t="shared" si="2"/>
        <v>135</v>
      </c>
      <c r="L28" s="26">
        <f t="shared" si="0"/>
        <v>45</v>
      </c>
      <c r="M28" s="31" t="str">
        <f t="shared" si="3"/>
        <v>P</v>
      </c>
    </row>
    <row r="29" spans="1:13" x14ac:dyDescent="0.25">
      <c r="A29" s="20" t="s">
        <v>14</v>
      </c>
      <c r="B29" s="8"/>
      <c r="C29" s="8"/>
      <c r="D29" s="8"/>
      <c r="E29" s="8"/>
      <c r="F29" s="1">
        <f>VLOOKUP(C8,'3rd Term'!B9:AN48,22,FALSE)</f>
        <v>17</v>
      </c>
      <c r="G29" s="31">
        <f>VLOOKUP(C8,'3rd Term'!B9:AN48,23,FALSE)</f>
        <v>46</v>
      </c>
      <c r="H29" s="31">
        <f t="shared" si="1"/>
        <v>63</v>
      </c>
      <c r="I29" s="31">
        <f>(VLOOKUP(C8,'2nd Term'!B9:AN48,22,FALSE))+(VLOOKUP(C8,'2nd Term'!B9:AN48,23,FALSE))</f>
        <v>46</v>
      </c>
      <c r="J29" s="31">
        <f>(VLOOKUP($C$8,'1st Term'!$B$9:$AN$48,22,FALSE))+(VLOOKUP($C$8,'1st Term'!$B$9:$AN$48,23,FALSE))</f>
        <v>32</v>
      </c>
      <c r="K29" s="31">
        <f t="shared" si="2"/>
        <v>141</v>
      </c>
      <c r="L29" s="26">
        <f t="shared" si="0"/>
        <v>47</v>
      </c>
      <c r="M29" s="31" t="str">
        <f t="shared" si="3"/>
        <v>P</v>
      </c>
    </row>
    <row r="30" spans="1:13" x14ac:dyDescent="0.25">
      <c r="A30" s="20" t="s">
        <v>15</v>
      </c>
      <c r="B30" s="8"/>
      <c r="C30" s="8"/>
      <c r="D30" s="8"/>
      <c r="E30" s="8"/>
      <c r="F30" s="1">
        <f>VLOOKUP(C8,'3rd Term'!B9:AN48,24,FALSE)</f>
        <v>27</v>
      </c>
      <c r="G30" s="31">
        <f>VLOOKUP(C8,'3rd Term'!B9:AN48,25,FALSE)</f>
        <v>25</v>
      </c>
      <c r="H30" s="31">
        <f t="shared" si="1"/>
        <v>52</v>
      </c>
      <c r="I30" s="31">
        <f>(VLOOKUP(C8,'2nd Term'!B9:AN48,24,FALSE))+(VLOOKUP(C8,'2nd Term'!B9:AN48,25,FALSE))</f>
        <v>31</v>
      </c>
      <c r="J30" s="31">
        <f>(VLOOKUP($C$8,'1st Term'!$B$9:$AN$48,24,FALSE))+(VLOOKUP($C$8,'1st Term'!$B$9:$AN$48,25,FALSE))</f>
        <v>40</v>
      </c>
      <c r="K30" s="31">
        <f t="shared" si="2"/>
        <v>123</v>
      </c>
      <c r="L30" s="26">
        <f t="shared" si="0"/>
        <v>41</v>
      </c>
      <c r="M30" s="31" t="str">
        <f t="shared" si="3"/>
        <v>P</v>
      </c>
    </row>
    <row r="31" spans="1:13" hidden="1" x14ac:dyDescent="0.25">
      <c r="A31" s="20" t="s">
        <v>22</v>
      </c>
      <c r="B31" s="8"/>
      <c r="C31" s="8"/>
      <c r="D31" s="8"/>
      <c r="E31" s="8"/>
      <c r="F31" s="1">
        <f>VLOOKUP(C8,'3rd Term'!B9:AN48,26,FALSE)</f>
        <v>0</v>
      </c>
      <c r="G31" s="31">
        <f>VLOOKUP(C8,'3rd Term'!B9:AN48,27,FALSE)</f>
        <v>0</v>
      </c>
      <c r="H31" s="31">
        <f t="shared" si="1"/>
        <v>0</v>
      </c>
      <c r="I31" s="31">
        <f>(VLOOKUP(C8,'2nd Term'!B9:AN48,26,FALSE))+(VLOOKUP(C8,'2nd Term'!B9:AN48,27,FALSE))</f>
        <v>0</v>
      </c>
      <c r="J31" s="31">
        <f>(VLOOKUP($C$8,'1st Term'!$B$9:$AN$48,26,FALSE))+(VLOOKUP($C$8,'1st Term'!$B$9:$AN$48,27,FALSE))</f>
        <v>0</v>
      </c>
      <c r="K31" s="31" t="str">
        <f t="shared" si="2"/>
        <v>-</v>
      </c>
      <c r="L31" s="26" t="str">
        <f t="shared" si="0"/>
        <v>-</v>
      </c>
      <c r="M31" s="31" t="str">
        <f t="shared" si="3"/>
        <v>-</v>
      </c>
    </row>
    <row r="32" spans="1:13" x14ac:dyDescent="0.25">
      <c r="A32" s="20" t="s">
        <v>16</v>
      </c>
      <c r="B32" s="8"/>
      <c r="C32" s="8"/>
      <c r="D32" s="8"/>
      <c r="E32" s="8"/>
      <c r="F32" s="1">
        <f>VLOOKUP(C8,'3rd Term'!B9:AN48,28,FALSE)</f>
        <v>21</v>
      </c>
      <c r="G32" s="31">
        <f>VLOOKUP(C8,'3rd Term'!B9:AN48,29,FALSE)</f>
        <v>20</v>
      </c>
      <c r="H32" s="31">
        <f t="shared" si="1"/>
        <v>41</v>
      </c>
      <c r="I32" s="31">
        <f>(VLOOKUP(C8,'2nd Term'!B9:AN48,28,FALSE))+(VLOOKUP(C8,'2nd Term'!B9:AN48,29,FALSE))</f>
        <v>31</v>
      </c>
      <c r="J32" s="31">
        <f>(VLOOKUP($C$8,'1st Term'!$B$9:$AN$48,28,FALSE))+(VLOOKUP($C$8,'1st Term'!$B$9:$AN$48,29,FALSE))</f>
        <v>40</v>
      </c>
      <c r="K32" s="31">
        <f t="shared" si="2"/>
        <v>112</v>
      </c>
      <c r="L32" s="26">
        <f t="shared" si="0"/>
        <v>37.333333333333336</v>
      </c>
      <c r="M32" s="31" t="str">
        <f t="shared" si="3"/>
        <v>F</v>
      </c>
    </row>
    <row r="33" spans="1:13" x14ac:dyDescent="0.25">
      <c r="A33" s="20" t="s">
        <v>17</v>
      </c>
      <c r="B33" s="8"/>
      <c r="C33" s="8"/>
      <c r="D33" s="8"/>
      <c r="E33" s="8"/>
      <c r="F33" s="1">
        <f>VLOOKUP(C8,'3rd Term'!B9:AN48,30,FALSE)</f>
        <v>29</v>
      </c>
      <c r="G33" s="31">
        <f>VLOOKUP(C8,'3rd Term'!B9:AN48,31,FALSE)</f>
        <v>26</v>
      </c>
      <c r="H33" s="31">
        <f t="shared" si="1"/>
        <v>55</v>
      </c>
      <c r="I33" s="31">
        <f>(VLOOKUP(C8,'2nd Term'!B9:AN48,30,FALSE))+(VLOOKUP(C8,'2nd Term'!B9:AN48,31,FALSE))</f>
        <v>54</v>
      </c>
      <c r="J33" s="31">
        <f>(VLOOKUP($C$8,'1st Term'!$B$9:$AN$48,30,FALSE))+(VLOOKUP($C$8,'1st Term'!$B$9:$AN$48,31,FALSE))</f>
        <v>34</v>
      </c>
      <c r="K33" s="31">
        <f t="shared" si="2"/>
        <v>143</v>
      </c>
      <c r="L33" s="26">
        <f t="shared" si="0"/>
        <v>47.666666666666664</v>
      </c>
      <c r="M33" s="31" t="str">
        <f t="shared" si="3"/>
        <v>P</v>
      </c>
    </row>
    <row r="34" spans="1:13" x14ac:dyDescent="0.25">
      <c r="A34" s="20" t="s">
        <v>18</v>
      </c>
      <c r="B34" s="8"/>
      <c r="C34" s="8"/>
      <c r="D34" s="8"/>
      <c r="E34" s="8"/>
      <c r="F34" s="1">
        <f>VLOOKUP(C8,'3rd Term'!B9:AN48,32,FALSE)</f>
        <v>21</v>
      </c>
      <c r="G34" s="31">
        <f>VLOOKUP(C8,'3rd Term'!B9:AN48,33,FALSE)</f>
        <v>45</v>
      </c>
      <c r="H34" s="31">
        <f t="shared" si="1"/>
        <v>66</v>
      </c>
      <c r="I34" s="31">
        <f>(VLOOKUP(C8,'2nd Term'!B9:AN48,32,FALSE))+(VLOOKUP(C8,'2nd Term'!B9:AN48,33,FALSE))</f>
        <v>59</v>
      </c>
      <c r="J34" s="31">
        <f>(VLOOKUP($C$8,'1st Term'!$B$9:$AN$48,32,FALSE))+(VLOOKUP($C$8,'1st Term'!$B$9:$AN$48,33,FALSE))</f>
        <v>49</v>
      </c>
      <c r="K34" s="31">
        <f t="shared" si="2"/>
        <v>174</v>
      </c>
      <c r="L34" s="26">
        <f t="shared" si="0"/>
        <v>58</v>
      </c>
      <c r="M34" s="31" t="str">
        <f t="shared" si="3"/>
        <v>C</v>
      </c>
    </row>
    <row r="35" spans="1:13" x14ac:dyDescent="0.25">
      <c r="A35" s="20" t="s">
        <v>19</v>
      </c>
      <c r="B35" s="8"/>
      <c r="C35" s="8"/>
      <c r="D35" s="8"/>
      <c r="E35" s="8"/>
      <c r="F35" s="1">
        <f>VLOOKUP(C8,'3rd Term'!B9:AN48,34,FALSE)</f>
        <v>16</v>
      </c>
      <c r="G35" s="31">
        <f>VLOOKUP(C8,'3rd Term'!B9:AN48,35,FALSE)</f>
        <v>15</v>
      </c>
      <c r="H35" s="31">
        <f t="shared" si="1"/>
        <v>31</v>
      </c>
      <c r="I35" s="31">
        <f>(VLOOKUP(C8,'2nd Term'!B9:AN48,34,FALSE))+(VLOOKUP(C8,'2nd Term'!B9:AN48,35,FALSE))</f>
        <v>40</v>
      </c>
      <c r="J35" s="31">
        <f>(VLOOKUP($C$8,'1st Term'!$B$9:$AN$48,34,FALSE))+(VLOOKUP($C$8,'1st Term'!$B$9:$AN$48,35,FALSE))</f>
        <v>32</v>
      </c>
      <c r="K35" s="31">
        <f t="shared" si="2"/>
        <v>103</v>
      </c>
      <c r="L35" s="26">
        <f t="shared" si="0"/>
        <v>34.333333333333336</v>
      </c>
      <c r="M35" s="31" t="str">
        <f t="shared" si="3"/>
        <v>F</v>
      </c>
    </row>
    <row r="36" spans="1:13" x14ac:dyDescent="0.25">
      <c r="A36" s="20" t="s">
        <v>20</v>
      </c>
      <c r="B36" s="8"/>
      <c r="C36" s="8"/>
      <c r="D36" s="8"/>
      <c r="E36" s="8"/>
      <c r="F36" s="1">
        <f>VLOOKUP(C8,'3rd Term'!B9:AN48,36,FALSE)</f>
        <v>28</v>
      </c>
      <c r="G36" s="31">
        <f>VLOOKUP(C8,'3rd Term'!B9:AN48,37,FALSE)</f>
        <v>51</v>
      </c>
      <c r="H36" s="31">
        <f t="shared" si="1"/>
        <v>79</v>
      </c>
      <c r="I36" s="31">
        <f>(VLOOKUP(C8,'2nd Term'!B9:AN48,36,FALSE))+(VLOOKUP(C8,'2nd Term'!B9:AN48,37,FALSE))</f>
        <v>52</v>
      </c>
      <c r="J36" s="31">
        <f>(VLOOKUP($C$8,'1st Term'!$B$9:$AN$48,36,FALSE))+(VLOOKUP($C$8,'1st Term'!$B$9:$AN$48,37,FALSE))</f>
        <v>48</v>
      </c>
      <c r="K36" s="31">
        <f t="shared" si="2"/>
        <v>179</v>
      </c>
      <c r="L36" s="26">
        <f t="shared" si="0"/>
        <v>59.666666666666664</v>
      </c>
      <c r="M36" s="31" t="str">
        <f t="shared" si="3"/>
        <v>C</v>
      </c>
    </row>
    <row r="37" spans="1:13" x14ac:dyDescent="0.25">
      <c r="A37" s="18" t="s">
        <v>21</v>
      </c>
      <c r="B37" s="7"/>
      <c r="C37" s="7"/>
      <c r="D37" s="7"/>
      <c r="E37" s="7"/>
      <c r="F37" s="57">
        <f>VLOOKUP(C8,'3rd Term'!B9:AN48,38,FALSE)</f>
        <v>23</v>
      </c>
      <c r="G37" s="31">
        <f>VLOOKUP(C8,'3rd Term'!B9:AN48,39,FALSE)</f>
        <v>32</v>
      </c>
      <c r="H37" s="31">
        <f t="shared" si="1"/>
        <v>55</v>
      </c>
      <c r="I37" s="31">
        <f>(VLOOKUP(C8,'2nd Term'!B9:AN48,38,FALSE))+(VLOOKUP(C8,'2nd Term'!B9:AN48,39,FALSE))</f>
        <v>36</v>
      </c>
      <c r="J37" s="31">
        <f>(VLOOKUP($C$8,'1st Term'!$B$9:$AN$48,38,FALSE))+(VLOOKUP($C$8,'1st Term'!$B$9:$AN$48,39,FALSE))</f>
        <v>40</v>
      </c>
      <c r="K37" s="31">
        <f t="shared" si="2"/>
        <v>131</v>
      </c>
      <c r="L37" s="26">
        <f t="shared" si="0"/>
        <v>43.666666666666664</v>
      </c>
      <c r="M37" s="31" t="str">
        <f t="shared" si="3"/>
        <v>P</v>
      </c>
    </row>
    <row r="43" spans="1:13" x14ac:dyDescent="0.25">
      <c r="G43" s="110" t="s">
        <v>62</v>
      </c>
      <c r="H43" s="110"/>
      <c r="I43" s="110"/>
      <c r="J43" s="110"/>
      <c r="K43" s="110"/>
      <c r="L43" s="110"/>
      <c r="M43" s="110"/>
    </row>
    <row r="44" spans="1:13" x14ac:dyDescent="0.25">
      <c r="A44" s="77" t="s">
        <v>58</v>
      </c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</row>
    <row r="45" spans="1:13" ht="12.75" customHeight="1" x14ac:dyDescent="0.25">
      <c r="A45" s="50" t="str">
        <f>VLOOKUP(C8,comments!B8:X47,7,0)</f>
        <v>She is improving gradually but needs to participate more in class discussions.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</row>
    <row r="46" spans="1:13" x14ac:dyDescent="0.25">
      <c r="A46" s="50"/>
      <c r="B46" s="50"/>
      <c r="C46" s="50"/>
      <c r="D46" s="50"/>
      <c r="E46" s="50"/>
      <c r="F46" s="78"/>
      <c r="G46" s="78"/>
      <c r="H46" s="78"/>
      <c r="I46" s="78"/>
      <c r="J46" s="78"/>
      <c r="K46" s="78"/>
      <c r="L46" s="78"/>
      <c r="M46" s="78"/>
    </row>
    <row r="47" spans="1:13" x14ac:dyDescent="0.25">
      <c r="A47" s="79" t="s">
        <v>60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</row>
    <row r="48" spans="1:13" ht="12" customHeight="1" x14ac:dyDescent="0.25">
      <c r="A48" s="50" t="str">
        <f>VLOOKUP(C8,comments!B8:X47,14,0)</f>
        <v>Just fair. You can improve if only you will be more regular at school next term. Promoted to the Next Class.</v>
      </c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</row>
    <row r="49" spans="1:13" x14ac:dyDescent="0.25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</row>
    <row r="50" spans="1:13" x14ac:dyDescent="0.25">
      <c r="A50" s="79" t="s">
        <v>59</v>
      </c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</row>
    <row r="51" spans="1:13" ht="12" customHeight="1" x14ac:dyDescent="0.25">
      <c r="A51" s="78" t="s">
        <v>61</v>
      </c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</row>
  </sheetData>
  <sheetProtection algorithmName="SHA-512" hashValue="2GItgresxo/V1+P/rDs4hUD28re98jbwEpZCzQFeXETcq6tptVBExfDcSOpkPXJk4zbL93qGTCow9MIWAvB1ng==" saltValue="LnIkRfQesrL6MOhtZs2L1w==" spinCount="100000" sheet="1" scenarios="1"/>
  <mergeCells count="13">
    <mergeCell ref="I14:I17"/>
    <mergeCell ref="A18:B18"/>
    <mergeCell ref="G43:M43"/>
    <mergeCell ref="B1:M2"/>
    <mergeCell ref="B3:M3"/>
    <mergeCell ref="B4:M4"/>
    <mergeCell ref="B5:M6"/>
    <mergeCell ref="K7:M12"/>
    <mergeCell ref="A8:B8"/>
    <mergeCell ref="A9:B9"/>
    <mergeCell ref="A10:B10"/>
    <mergeCell ref="A11:B11"/>
    <mergeCell ref="A12:B12"/>
  </mergeCells>
  <conditionalFormatting sqref="M19:M37">
    <cfRule type="cellIs" dxfId="74" priority="3" operator="equal">
      <formula>"F"</formula>
    </cfRule>
    <cfRule type="cellIs" dxfId="73" priority="4" operator="equal">
      <formula>"P"</formula>
    </cfRule>
    <cfRule type="cellIs" dxfId="72" priority="5" operator="equal">
      <formula>"C"</formula>
    </cfRule>
    <cfRule type="cellIs" dxfId="71" priority="6" operator="equal">
      <formula>"A"</formula>
    </cfRule>
  </conditionalFormatting>
  <conditionalFormatting sqref="F19:J37">
    <cfRule type="cellIs" dxfId="70" priority="1" operator="equal">
      <formula>0</formula>
    </cfRule>
    <cfRule type="colorScale" priority="2">
      <colorScale>
        <cfvo type="min"/>
        <cfvo type="num" val="0"/>
        <color rgb="FFFF7128"/>
        <color theme="0"/>
      </colorScale>
    </cfRule>
  </conditionalFormatting>
  <dataValidations count="1">
    <dataValidation type="list" allowBlank="1" showInputMessage="1" showErrorMessage="1" sqref="M14:M17" xr:uid="{E1277B63-7767-42E9-AACE-8F323BC5341E}">
      <formula1>"A,B,C,D,E"</formula1>
    </dataValidation>
  </dataValidations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0973C-D54C-4F5D-80F6-C2C7A75C5D6C}">
  <sheetPr>
    <tabColor rgb="FF7030A0"/>
  </sheetPr>
  <dimension ref="A1:M51"/>
  <sheetViews>
    <sheetView workbookViewId="0">
      <selection activeCell="I9" sqref="I9"/>
    </sheetView>
  </sheetViews>
  <sheetFormatPr defaultRowHeight="15" x14ac:dyDescent="0.25"/>
  <cols>
    <col min="3" max="3" width="8.140625" customWidth="1"/>
    <col min="4" max="4" width="9.42578125" customWidth="1"/>
    <col min="5" max="5" width="10.5703125" customWidth="1"/>
    <col min="6" max="6" width="6.28515625" customWidth="1"/>
    <col min="7" max="8" width="5.85546875" customWidth="1"/>
    <col min="9" max="9" width="5.5703125" customWidth="1"/>
    <col min="10" max="11" width="5.28515625" customWidth="1"/>
    <col min="12" max="12" width="6.28515625" customWidth="1"/>
    <col min="13" max="13" width="5.7109375" customWidth="1"/>
  </cols>
  <sheetData>
    <row r="1" spans="1:13" ht="15" customHeight="1" x14ac:dyDescent="0.25">
      <c r="A1" s="10"/>
      <c r="B1" s="116" t="s">
        <v>185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</row>
    <row r="2" spans="1:13" ht="15" customHeight="1" x14ac:dyDescent="0.25">
      <c r="A2" s="10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</row>
    <row r="3" spans="1:13" ht="15.75" x14ac:dyDescent="0.25">
      <c r="A3" s="10"/>
      <c r="B3" s="117" t="s">
        <v>184</v>
      </c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</row>
    <row r="4" spans="1:13" ht="15.75" x14ac:dyDescent="0.25">
      <c r="A4" s="10"/>
      <c r="B4" s="118" t="s">
        <v>186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</row>
    <row r="5" spans="1:13" ht="15" customHeight="1" x14ac:dyDescent="0.25">
      <c r="A5" s="10"/>
      <c r="B5" s="119" t="s">
        <v>36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</row>
    <row r="6" spans="1:13" ht="15" customHeight="1" x14ac:dyDescent="0.25">
      <c r="A6" s="10"/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</row>
    <row r="7" spans="1:13" ht="15" customHeight="1" x14ac:dyDescent="0.25">
      <c r="I7" s="10"/>
      <c r="J7" s="10"/>
      <c r="K7" s="122" t="s">
        <v>105</v>
      </c>
      <c r="L7" s="122"/>
      <c r="M7" s="122"/>
    </row>
    <row r="8" spans="1:13" x14ac:dyDescent="0.25">
      <c r="A8" s="120" t="s">
        <v>37</v>
      </c>
      <c r="B8" s="120"/>
      <c r="C8" s="29" t="str">
        <f>('1st Term'!B17)</f>
        <v>EWELUKWA FAVOUR</v>
      </c>
      <c r="D8" s="8"/>
      <c r="E8" s="8"/>
      <c r="F8" s="8"/>
      <c r="G8" s="8"/>
      <c r="H8" s="9"/>
      <c r="I8" s="10"/>
      <c r="J8" s="10"/>
      <c r="K8" s="122"/>
      <c r="L8" s="122"/>
      <c r="M8" s="122"/>
    </row>
    <row r="9" spans="1:13" x14ac:dyDescent="0.25">
      <c r="A9" s="121" t="s">
        <v>38</v>
      </c>
      <c r="B9" s="115"/>
      <c r="C9" s="29" t="str">
        <f>('1st Term'!B7)</f>
        <v>JSS 1A</v>
      </c>
      <c r="D9" s="8"/>
      <c r="E9" s="8"/>
      <c r="F9" s="8"/>
      <c r="G9" s="8"/>
      <c r="H9" s="9"/>
      <c r="I9" s="10"/>
      <c r="J9" s="10"/>
      <c r="K9" s="122"/>
      <c r="L9" s="122"/>
      <c r="M9" s="122"/>
    </row>
    <row r="10" spans="1:13" x14ac:dyDescent="0.25">
      <c r="A10" s="121" t="s">
        <v>39</v>
      </c>
      <c r="B10" s="115"/>
      <c r="C10" s="29" t="str">
        <f>(comments!C4)</f>
        <v>2025/2026</v>
      </c>
      <c r="D10" s="8"/>
      <c r="E10" s="8"/>
      <c r="F10" s="43"/>
      <c r="G10" s="43"/>
      <c r="H10" s="9"/>
      <c r="I10" s="10"/>
      <c r="J10" s="10"/>
      <c r="K10" s="122"/>
      <c r="L10" s="122"/>
      <c r="M10" s="122"/>
    </row>
    <row r="11" spans="1:13" x14ac:dyDescent="0.25">
      <c r="A11" s="121" t="s">
        <v>40</v>
      </c>
      <c r="B11" s="115"/>
      <c r="C11" s="30" t="str">
        <f>(comments!B5)</f>
        <v>THIRD TERM</v>
      </c>
      <c r="D11" s="7"/>
      <c r="E11" s="7"/>
      <c r="F11" s="13" t="s">
        <v>167</v>
      </c>
      <c r="G11" s="8"/>
      <c r="H11" s="53">
        <f>INDEX(comments!D8:D47,MATCH(sheet9!C8,comments!B8:B47,0))</f>
        <v>58.117647058823529</v>
      </c>
      <c r="I11" s="10"/>
      <c r="J11" s="10"/>
      <c r="K11" s="122"/>
      <c r="L11" s="122"/>
      <c r="M11" s="122"/>
    </row>
    <row r="12" spans="1:13" x14ac:dyDescent="0.25">
      <c r="A12" s="114" t="s">
        <v>41</v>
      </c>
      <c r="B12" s="115"/>
      <c r="C12" s="30" t="str">
        <f>(comments!E6)</f>
        <v>20TH APRIL 2026</v>
      </c>
      <c r="D12" s="7"/>
      <c r="E12" s="7"/>
      <c r="F12" s="13" t="s">
        <v>44</v>
      </c>
      <c r="G12" s="8"/>
      <c r="H12" s="51" t="str">
        <f>INDEX(comments!E8:E47,MATCH(sheet9!C8,comments!B8:B47,0))</f>
        <v>10th</v>
      </c>
      <c r="I12" s="10"/>
      <c r="J12" s="10"/>
      <c r="K12" s="123"/>
      <c r="L12" s="123"/>
      <c r="M12" s="123"/>
    </row>
    <row r="13" spans="1:13" x14ac:dyDescent="0.25">
      <c r="A13" s="48"/>
      <c r="B13" s="49"/>
      <c r="C13" s="50"/>
      <c r="F13" s="25"/>
      <c r="H13" s="52"/>
      <c r="I13" s="10"/>
      <c r="J13" s="10"/>
      <c r="K13" s="54"/>
      <c r="L13" s="54"/>
      <c r="M13" s="54"/>
    </row>
    <row r="14" spans="1:13" ht="16.5" customHeight="1" x14ac:dyDescent="0.25">
      <c r="A14" s="16" t="s">
        <v>48</v>
      </c>
      <c r="B14" s="8"/>
      <c r="C14" s="8"/>
      <c r="D14" s="13" t="s">
        <v>49</v>
      </c>
      <c r="E14" s="8"/>
      <c r="F14" s="8"/>
      <c r="G14" s="8"/>
      <c r="H14" s="15"/>
      <c r="I14" s="113" t="s">
        <v>50</v>
      </c>
      <c r="J14" s="45" t="s">
        <v>32</v>
      </c>
      <c r="K14" s="44"/>
      <c r="L14" s="17"/>
      <c r="M14" s="44" t="s">
        <v>52</v>
      </c>
    </row>
    <row r="15" spans="1:13" ht="21" customHeight="1" x14ac:dyDescent="0.25">
      <c r="A15" s="11" t="s">
        <v>46</v>
      </c>
      <c r="B15" s="7"/>
      <c r="C15" s="7"/>
      <c r="D15" s="55">
        <f>(comments!C6)</f>
        <v>110</v>
      </c>
      <c r="E15" s="8"/>
      <c r="F15" s="8"/>
      <c r="G15" s="8"/>
      <c r="H15" s="14"/>
      <c r="I15" s="113"/>
      <c r="J15" s="45" t="s">
        <v>33</v>
      </c>
      <c r="K15" s="44"/>
      <c r="L15" s="17"/>
      <c r="M15" s="44" t="s">
        <v>51</v>
      </c>
    </row>
    <row r="16" spans="1:13" ht="18.75" customHeight="1" x14ac:dyDescent="0.25">
      <c r="A16" s="12" t="s">
        <v>47</v>
      </c>
      <c r="B16" s="8"/>
      <c r="C16" s="8"/>
      <c r="D16" s="56">
        <f>VLOOKUP(C8,comments!B8:C47,2,FALSE)</f>
        <v>0</v>
      </c>
      <c r="E16" s="8"/>
      <c r="F16" s="8"/>
      <c r="G16" s="8"/>
      <c r="H16" s="14"/>
      <c r="I16" s="113"/>
      <c r="J16" s="45" t="s">
        <v>34</v>
      </c>
      <c r="K16" s="44"/>
      <c r="L16" s="17"/>
      <c r="M16" s="44" t="s">
        <v>51</v>
      </c>
    </row>
    <row r="17" spans="1:13" ht="17.25" customHeight="1" x14ac:dyDescent="0.25">
      <c r="A17" s="11" t="s">
        <v>45</v>
      </c>
      <c r="B17" s="7"/>
      <c r="C17" s="7"/>
      <c r="D17" s="56">
        <f>(comments!D6)</f>
        <v>22</v>
      </c>
      <c r="E17" s="8"/>
      <c r="F17" s="8"/>
      <c r="G17" s="8"/>
      <c r="H17" s="14"/>
      <c r="I17" s="113"/>
      <c r="J17" s="47" t="s">
        <v>35</v>
      </c>
      <c r="K17" s="46"/>
      <c r="L17" s="40"/>
      <c r="M17" s="44" t="s">
        <v>52</v>
      </c>
    </row>
    <row r="18" spans="1:13" ht="61.5" customHeight="1" x14ac:dyDescent="0.25">
      <c r="A18" s="111" t="s">
        <v>53</v>
      </c>
      <c r="B18" s="112"/>
      <c r="C18" s="19"/>
      <c r="D18" s="19"/>
      <c r="E18" s="19"/>
      <c r="F18" s="41" t="s">
        <v>172</v>
      </c>
      <c r="G18" s="41" t="s">
        <v>171</v>
      </c>
      <c r="H18" s="41" t="s">
        <v>173</v>
      </c>
      <c r="I18" s="42" t="s">
        <v>174</v>
      </c>
      <c r="J18" s="42" t="s">
        <v>175</v>
      </c>
      <c r="K18" s="41" t="s">
        <v>165</v>
      </c>
      <c r="L18" s="41" t="s">
        <v>166</v>
      </c>
      <c r="M18" s="41" t="s">
        <v>54</v>
      </c>
    </row>
    <row r="19" spans="1:13" ht="15" customHeight="1" x14ac:dyDescent="0.25">
      <c r="A19" s="20" t="s">
        <v>6</v>
      </c>
      <c r="B19" s="8"/>
      <c r="C19" s="8"/>
      <c r="D19" s="8"/>
      <c r="E19" s="8"/>
      <c r="F19" s="31">
        <f>VLOOKUP(C8,'3rd Term'!B9:AN48,2,FALSE)</f>
        <v>19</v>
      </c>
      <c r="G19" s="31">
        <f>VLOOKUP(C8,'3rd Term'!B9:AN48,3,FALSE)</f>
        <v>24</v>
      </c>
      <c r="H19" s="31">
        <f>SUM(F19:G19)</f>
        <v>43</v>
      </c>
      <c r="I19" s="5">
        <f>(VLOOKUP(C8,'2nd Term'!B9:AN48,2,FALSE))+(VLOOKUP(C8,'2nd Term'!B9:AN48,3,FALSE))</f>
        <v>94</v>
      </c>
      <c r="J19" s="31">
        <f>(VLOOKUP($C$8,'1st Term'!$B$9:$AN$48,2,FALSE))+(VLOOKUP($C$8,'1st Term'!$B$9:$AN$48,3,FALSE))</f>
        <v>91</v>
      </c>
      <c r="K19" s="31">
        <f>IF(SUM(H19:J19)=0,"-",SUM(H19:J19))</f>
        <v>228</v>
      </c>
      <c r="L19" s="26">
        <f t="shared" ref="L19:L37" si="0">IFERROR(((H19)+(I19)+(J19))/((--(H19&gt;0))+(--(I19&gt;0))+(--(J19&gt;0))),"-")</f>
        <v>76</v>
      </c>
      <c r="M19" s="31" t="str">
        <f>IF(L19="-","-",IF(L19&gt;=70,"A",IF(L19&gt;=50,"C",IF(L19&gt;=40,"P","F"))))</f>
        <v>A</v>
      </c>
    </row>
    <row r="20" spans="1:13" ht="15" customHeight="1" x14ac:dyDescent="0.25">
      <c r="A20" s="20" t="s">
        <v>3</v>
      </c>
      <c r="B20" s="8"/>
      <c r="C20" s="8"/>
      <c r="D20" s="8"/>
      <c r="E20" s="8"/>
      <c r="F20" s="1">
        <f>VLOOKUP(C8,'3rd Term'!B9:AN48,4,FALSE)</f>
        <v>17</v>
      </c>
      <c r="G20" s="31">
        <f>VLOOKUP(C8,'3rd Term'!B9:AN48,5,FALSE)</f>
        <v>31</v>
      </c>
      <c r="H20" s="31">
        <f t="shared" ref="H20:H37" si="1">SUM(F20:G20)</f>
        <v>48</v>
      </c>
      <c r="I20" s="31">
        <f>(VLOOKUP(C8,'2nd Term'!B9:AN48,4,FALSE))+(VLOOKUP(C8,'2nd Term'!B9:AN48,5,FALSE))</f>
        <v>84</v>
      </c>
      <c r="J20" s="31">
        <f>(VLOOKUP($C$8,'1st Term'!$B$9:$AN$48,4,FALSE))+(VLOOKUP($C$8,'1st Term'!$B$9:$AN$48,5,FALSE))</f>
        <v>80</v>
      </c>
      <c r="K20" s="31">
        <f t="shared" ref="K20:K37" si="2">IF(SUM(H20:J20)=0,"-",SUM(H20:J20))</f>
        <v>212</v>
      </c>
      <c r="L20" s="26">
        <f t="shared" si="0"/>
        <v>70.666666666666671</v>
      </c>
      <c r="M20" s="31" t="str">
        <f t="shared" ref="M20:M37" si="3">IF(L20="-","-",IF(L20&gt;=70,"A",IF(L20&gt;=50,"C",IF(L20&gt;=40,"P","F"))))</f>
        <v>A</v>
      </c>
    </row>
    <row r="21" spans="1:13" ht="15" customHeight="1" x14ac:dyDescent="0.25">
      <c r="A21" s="20" t="s">
        <v>4</v>
      </c>
      <c r="B21" s="8"/>
      <c r="C21" s="8"/>
      <c r="D21" s="8"/>
      <c r="E21" s="8"/>
      <c r="F21" s="1">
        <f>VLOOKUP(C8,'3rd Term'!B9:AN48,6,FALSE)</f>
        <v>2</v>
      </c>
      <c r="G21" s="31">
        <f>VLOOKUP(C8,'3rd Term'!B9:AN48,7,FALSE)</f>
        <v>16</v>
      </c>
      <c r="H21" s="31">
        <f t="shared" si="1"/>
        <v>18</v>
      </c>
      <c r="I21" s="31">
        <f>(VLOOKUP(C8,'2nd Term'!B9:AN48,6,FALSE))+(VLOOKUP(C8,'2nd Term'!B9:AN48,7,FALSE))</f>
        <v>96</v>
      </c>
      <c r="J21" s="31">
        <f>(VLOOKUP($C$8,'1st Term'!$B$9:$AN$48,6,FALSE))+(VLOOKUP($C$8,'1st Term'!$B$9:$AN$48,7,FALSE))</f>
        <v>73</v>
      </c>
      <c r="K21" s="31">
        <f t="shared" si="2"/>
        <v>187</v>
      </c>
      <c r="L21" s="26">
        <f t="shared" si="0"/>
        <v>62.333333333333336</v>
      </c>
      <c r="M21" s="31" t="str">
        <f t="shared" si="3"/>
        <v>C</v>
      </c>
    </row>
    <row r="22" spans="1:13" ht="15" customHeight="1" x14ac:dyDescent="0.25">
      <c r="A22" s="20" t="s">
        <v>5</v>
      </c>
      <c r="B22" s="8"/>
      <c r="C22" s="8"/>
      <c r="D22" s="8"/>
      <c r="E22" s="8"/>
      <c r="F22" s="1">
        <f>VLOOKUP(C8,'3rd Term'!B9:AN48,8,FALSE)</f>
        <v>21</v>
      </c>
      <c r="G22" s="31">
        <f>VLOOKUP(C8,'3rd Term'!B9:AN48,9,FALSE)</f>
        <v>15</v>
      </c>
      <c r="H22" s="31">
        <f t="shared" si="1"/>
        <v>36</v>
      </c>
      <c r="I22" s="31">
        <f>(VLOOKUP(C8,'2nd Term'!B9:AN48,8,FALSE))+(VLOOKUP(C8,'2nd Term'!B9:AN48,9,FALSE))</f>
        <v>44</v>
      </c>
      <c r="J22" s="31">
        <f>(VLOOKUP($C$8,'1st Term'!$B$9:$AN$48,8,FALSE))+(VLOOKUP($C$8,'1st Term'!$B$9:$AN$48,9,FALSE))</f>
        <v>60</v>
      </c>
      <c r="K22" s="31">
        <f t="shared" si="2"/>
        <v>140</v>
      </c>
      <c r="L22" s="26">
        <f t="shared" si="0"/>
        <v>46.666666666666664</v>
      </c>
      <c r="M22" s="31" t="str">
        <f t="shared" si="3"/>
        <v>P</v>
      </c>
    </row>
    <row r="23" spans="1:13" ht="15" customHeight="1" x14ac:dyDescent="0.25">
      <c r="A23" s="20" t="s">
        <v>7</v>
      </c>
      <c r="B23" s="8"/>
      <c r="C23" s="8"/>
      <c r="D23" s="8"/>
      <c r="E23" s="8"/>
      <c r="F23" s="1">
        <f>VLOOKUP(C8,'3rd Term'!B9:AN48,10,FALSE)</f>
        <v>14</v>
      </c>
      <c r="G23" s="31">
        <f>VLOOKUP(C8,'3rd Term'!B9:AN48,11,FALSE)</f>
        <v>30</v>
      </c>
      <c r="H23" s="31">
        <f t="shared" si="1"/>
        <v>44</v>
      </c>
      <c r="I23" s="31">
        <f>(VLOOKUP(C8,'2nd Term'!B9:AN48,10,FALSE))+(VLOOKUP(C8,'2nd Term'!B9:AN48,11,FALSE))</f>
        <v>89</v>
      </c>
      <c r="J23" s="31">
        <f>(VLOOKUP($C$8,'1st Term'!$B$9:$AN$48,10,FALSE))+(VLOOKUP($C$8,'1st Term'!$B$9:$AN$48,11,FALSE))</f>
        <v>56</v>
      </c>
      <c r="K23" s="31">
        <f t="shared" si="2"/>
        <v>189</v>
      </c>
      <c r="L23" s="26">
        <f t="shared" si="0"/>
        <v>63</v>
      </c>
      <c r="M23" s="31" t="str">
        <f t="shared" si="3"/>
        <v>C</v>
      </c>
    </row>
    <row r="24" spans="1:13" ht="15" customHeight="1" x14ac:dyDescent="0.25">
      <c r="A24" s="20" t="s">
        <v>8</v>
      </c>
      <c r="B24" s="8"/>
      <c r="C24" s="8"/>
      <c r="D24" s="8"/>
      <c r="E24" s="8"/>
      <c r="F24" s="1">
        <f>VLOOKUP(C8,'3rd Term'!B9:AN48,12,FALSE)</f>
        <v>15</v>
      </c>
      <c r="G24" s="31">
        <f>VLOOKUP(C8,'3rd Term'!B9:AN48,13,FALSE)</f>
        <v>17</v>
      </c>
      <c r="H24" s="31">
        <f t="shared" si="1"/>
        <v>32</v>
      </c>
      <c r="I24" s="31">
        <f>(VLOOKUP(C8,'2nd Term'!B9:AN48,12,FALSE))+(VLOOKUP(C8,'2nd Term'!B9:AN48,13,FALSE))</f>
        <v>54</v>
      </c>
      <c r="J24" s="31">
        <f>(VLOOKUP($C$8,'1st Term'!$B$9:$AN$48,12,FALSE))+(VLOOKUP($C$8,'1st Term'!$B$9:$AN$48,13,FALSE))</f>
        <v>33</v>
      </c>
      <c r="K24" s="31">
        <f t="shared" si="2"/>
        <v>119</v>
      </c>
      <c r="L24" s="26">
        <f t="shared" si="0"/>
        <v>39.666666666666664</v>
      </c>
      <c r="M24" s="31" t="str">
        <f t="shared" si="3"/>
        <v>F</v>
      </c>
    </row>
    <row r="25" spans="1:13" ht="15" customHeight="1" x14ac:dyDescent="0.25">
      <c r="A25" s="20" t="s">
        <v>9</v>
      </c>
      <c r="B25" s="8"/>
      <c r="C25" s="8"/>
      <c r="D25" s="8"/>
      <c r="E25" s="8"/>
      <c r="F25" s="1">
        <f>VLOOKUP(C8,'3rd Term'!B9:AN48,14,FALSE)</f>
        <v>27</v>
      </c>
      <c r="G25" s="31">
        <f>VLOOKUP(C8,'3rd Term'!B9:AN48,15,FALSE)</f>
        <v>21</v>
      </c>
      <c r="H25" s="31">
        <f t="shared" si="1"/>
        <v>48</v>
      </c>
      <c r="I25" s="31">
        <f>(VLOOKUP(C8,'2nd Term'!B9:AN48,14,FALSE))+(VLOOKUP(C8,'2nd Term'!B9:AN48,15,FALSE))</f>
        <v>67</v>
      </c>
      <c r="J25" s="31">
        <f>(VLOOKUP($C$8,'1st Term'!$B$9:$AN$48,14,FALSE))+(VLOOKUP($C$8,'1st Term'!$B$9:$AN$48,15,FALSE))</f>
        <v>70</v>
      </c>
      <c r="K25" s="31">
        <f t="shared" si="2"/>
        <v>185</v>
      </c>
      <c r="L25" s="26">
        <f t="shared" si="0"/>
        <v>61.666666666666664</v>
      </c>
      <c r="M25" s="31" t="str">
        <f t="shared" si="3"/>
        <v>C</v>
      </c>
    </row>
    <row r="26" spans="1:13" ht="15" customHeight="1" x14ac:dyDescent="0.25">
      <c r="A26" s="20" t="s">
        <v>10</v>
      </c>
      <c r="B26" s="8"/>
      <c r="C26" s="8"/>
      <c r="D26" s="8"/>
      <c r="E26" s="8"/>
      <c r="F26" s="1">
        <f>VLOOKUP(C8,'3rd Term'!B9:AN48,16,FALSE)</f>
        <v>11</v>
      </c>
      <c r="G26" s="31">
        <f>VLOOKUP(C8,'3rd Term'!B9:AN48,17,FALSE)</f>
        <v>18</v>
      </c>
      <c r="H26" s="31">
        <f t="shared" si="1"/>
        <v>29</v>
      </c>
      <c r="I26" s="31">
        <f>(VLOOKUP(C8,'2nd Term'!B9:AN48,16,FALSE))+(VLOOKUP(C8,'2nd Term'!B9:AN48,17,FALSE))</f>
        <v>70</v>
      </c>
      <c r="J26" s="31">
        <f>(VLOOKUP($C$8,'1st Term'!$B$9:$AN$48,16,FALSE))+(VLOOKUP($C$8,'1st Term'!$B$9:$AN$48,17,FALSE))</f>
        <v>68</v>
      </c>
      <c r="K26" s="31">
        <f t="shared" si="2"/>
        <v>167</v>
      </c>
      <c r="L26" s="26">
        <f t="shared" si="0"/>
        <v>55.666666666666664</v>
      </c>
      <c r="M26" s="31" t="str">
        <f t="shared" si="3"/>
        <v>C</v>
      </c>
    </row>
    <row r="27" spans="1:13" ht="15" hidden="1" customHeight="1" x14ac:dyDescent="0.25">
      <c r="A27" s="20" t="s">
        <v>11</v>
      </c>
      <c r="B27" s="8"/>
      <c r="C27" s="8"/>
      <c r="D27" s="8"/>
      <c r="E27" s="8"/>
      <c r="F27" s="1">
        <f>VLOOKUP(C8,'3rd Term'!B9:AN48,18,FALSE)</f>
        <v>0</v>
      </c>
      <c r="G27" s="31">
        <f>VLOOKUP(C8,'3rd Term'!B9:AN48,19,FALSE)</f>
        <v>0</v>
      </c>
      <c r="H27" s="31">
        <f t="shared" si="1"/>
        <v>0</v>
      </c>
      <c r="I27" s="31">
        <f>(VLOOKUP(C8,'2nd Term'!B9:AN48,18,FALSE))+(VLOOKUP(C8,'2nd Term'!B9:AN48,19,FALSE))</f>
        <v>0</v>
      </c>
      <c r="J27" s="31">
        <f>(VLOOKUP($C$8,'1st Term'!$B$9:$AN$48,18,FALSE))+(VLOOKUP($C$8,'1st Term'!$B$9:$AN$48,19,FALSE))</f>
        <v>0</v>
      </c>
      <c r="K27" s="31" t="str">
        <f t="shared" si="2"/>
        <v>-</v>
      </c>
      <c r="L27" s="26" t="str">
        <f t="shared" si="0"/>
        <v>-</v>
      </c>
      <c r="M27" s="31" t="str">
        <f t="shared" si="3"/>
        <v>-</v>
      </c>
    </row>
    <row r="28" spans="1:13" ht="15" customHeight="1" x14ac:dyDescent="0.25">
      <c r="A28" s="20" t="s">
        <v>13</v>
      </c>
      <c r="B28" s="8"/>
      <c r="C28" s="8"/>
      <c r="D28" s="8"/>
      <c r="E28" s="8"/>
      <c r="F28" s="1">
        <f>VLOOKUP(C8,'3rd Term'!B9:AN48,20,FALSE)</f>
        <v>16</v>
      </c>
      <c r="G28" s="31">
        <f>VLOOKUP(C8,'3rd Term'!B9:AN48,21,FALSE)</f>
        <v>33</v>
      </c>
      <c r="H28" s="31">
        <f t="shared" si="1"/>
        <v>49</v>
      </c>
      <c r="I28" s="31">
        <f>(VLOOKUP(C8,'2nd Term'!B9:AN48,20,FALSE))+(VLOOKUP(C8,'2nd Term'!B9:AN48,21,FALSE))</f>
        <v>83</v>
      </c>
      <c r="J28" s="31">
        <f>(VLOOKUP($C$8,'1st Term'!$B$9:$AN$48,20,FALSE))+(VLOOKUP($C$8,'1st Term'!$B$9:$AN$48,21,FALSE))</f>
        <v>70</v>
      </c>
      <c r="K28" s="31">
        <f t="shared" si="2"/>
        <v>202</v>
      </c>
      <c r="L28" s="26">
        <f t="shared" si="0"/>
        <v>67.333333333333329</v>
      </c>
      <c r="M28" s="31" t="str">
        <f t="shared" si="3"/>
        <v>C</v>
      </c>
    </row>
    <row r="29" spans="1:13" x14ac:dyDescent="0.25">
      <c r="A29" s="20" t="s">
        <v>14</v>
      </c>
      <c r="B29" s="8"/>
      <c r="C29" s="8"/>
      <c r="D29" s="8"/>
      <c r="E29" s="8"/>
      <c r="F29" s="1">
        <f>VLOOKUP(C8,'3rd Term'!B9:AN48,22,FALSE)</f>
        <v>15</v>
      </c>
      <c r="G29" s="31">
        <f>VLOOKUP(C8,'3rd Term'!B9:AN48,23,FALSE)</f>
        <v>11</v>
      </c>
      <c r="H29" s="31">
        <f t="shared" si="1"/>
        <v>26</v>
      </c>
      <c r="I29" s="31">
        <f>(VLOOKUP(C8,'2nd Term'!B9:AN48,22,FALSE))+(VLOOKUP(C8,'2nd Term'!B9:AN48,23,FALSE))</f>
        <v>91</v>
      </c>
      <c r="J29" s="31">
        <f>(VLOOKUP($C$8,'1st Term'!$B$9:$AN$48,22,FALSE))+(VLOOKUP($C$8,'1st Term'!$B$9:$AN$48,23,FALSE))</f>
        <v>84</v>
      </c>
      <c r="K29" s="31">
        <f t="shared" si="2"/>
        <v>201</v>
      </c>
      <c r="L29" s="26">
        <f t="shared" si="0"/>
        <v>67</v>
      </c>
      <c r="M29" s="31" t="str">
        <f t="shared" si="3"/>
        <v>C</v>
      </c>
    </row>
    <row r="30" spans="1:13" x14ac:dyDescent="0.25">
      <c r="A30" s="20" t="s">
        <v>15</v>
      </c>
      <c r="B30" s="8"/>
      <c r="C30" s="8"/>
      <c r="D30" s="8"/>
      <c r="E30" s="8"/>
      <c r="F30" s="1">
        <f>VLOOKUP(C8,'3rd Term'!B9:AN48,24,FALSE)</f>
        <v>19</v>
      </c>
      <c r="G30" s="31">
        <f>VLOOKUP(C8,'3rd Term'!B9:AN48,25,FALSE)</f>
        <v>24</v>
      </c>
      <c r="H30" s="31">
        <f t="shared" si="1"/>
        <v>43</v>
      </c>
      <c r="I30" s="31">
        <f>(VLOOKUP(C8,'2nd Term'!B9:AN48,24,FALSE))+(VLOOKUP(C8,'2nd Term'!B9:AN48,25,FALSE))</f>
        <v>57</v>
      </c>
      <c r="J30" s="31">
        <f>(VLOOKUP($C$8,'1st Term'!$B$9:$AN$48,24,FALSE))+(VLOOKUP($C$8,'1st Term'!$B$9:$AN$48,25,FALSE))</f>
        <v>82</v>
      </c>
      <c r="K30" s="31">
        <f t="shared" si="2"/>
        <v>182</v>
      </c>
      <c r="L30" s="26">
        <f t="shared" si="0"/>
        <v>60.666666666666664</v>
      </c>
      <c r="M30" s="31" t="str">
        <f t="shared" si="3"/>
        <v>C</v>
      </c>
    </row>
    <row r="31" spans="1:13" hidden="1" x14ac:dyDescent="0.25">
      <c r="A31" s="20" t="s">
        <v>22</v>
      </c>
      <c r="B31" s="8"/>
      <c r="C31" s="8"/>
      <c r="D31" s="8"/>
      <c r="E31" s="8"/>
      <c r="F31" s="1">
        <f>VLOOKUP(C8,'3rd Term'!B9:AN48,26,FALSE)</f>
        <v>0</v>
      </c>
      <c r="G31" s="31">
        <f>VLOOKUP(C8,'3rd Term'!B9:AN48,27,FALSE)</f>
        <v>0</v>
      </c>
      <c r="H31" s="31">
        <f t="shared" si="1"/>
        <v>0</v>
      </c>
      <c r="I31" s="31">
        <f>(VLOOKUP(C8,'2nd Term'!B9:AN48,26,FALSE))+(VLOOKUP(C8,'2nd Term'!B9:AN48,27,FALSE))</f>
        <v>0</v>
      </c>
      <c r="J31" s="31">
        <f>(VLOOKUP($C$8,'1st Term'!$B$9:$AN$48,26,FALSE))+(VLOOKUP($C$8,'1st Term'!$B$9:$AN$48,27,FALSE))</f>
        <v>0</v>
      </c>
      <c r="K31" s="31" t="str">
        <f t="shared" si="2"/>
        <v>-</v>
      </c>
      <c r="L31" s="26" t="str">
        <f t="shared" si="0"/>
        <v>-</v>
      </c>
      <c r="M31" s="31" t="str">
        <f t="shared" si="3"/>
        <v>-</v>
      </c>
    </row>
    <row r="32" spans="1:13" x14ac:dyDescent="0.25">
      <c r="A32" s="20" t="s">
        <v>16</v>
      </c>
      <c r="B32" s="8"/>
      <c r="C32" s="8"/>
      <c r="D32" s="8"/>
      <c r="E32" s="8"/>
      <c r="F32" s="1">
        <f>VLOOKUP(C8,'3rd Term'!B9:AN48,28,FALSE)</f>
        <v>16</v>
      </c>
      <c r="G32" s="31">
        <f>VLOOKUP(C8,'3rd Term'!B9:AN48,29,FALSE)</f>
        <v>11</v>
      </c>
      <c r="H32" s="31">
        <f t="shared" si="1"/>
        <v>27</v>
      </c>
      <c r="I32" s="31">
        <f>(VLOOKUP(C8,'2nd Term'!B9:AN48,28,FALSE))+(VLOOKUP(C8,'2nd Term'!B9:AN48,29,FALSE))</f>
        <v>61</v>
      </c>
      <c r="J32" s="31">
        <f>(VLOOKUP($C$8,'1st Term'!$B$9:$AN$48,28,FALSE))+(VLOOKUP($C$8,'1st Term'!$B$9:$AN$48,29,FALSE))</f>
        <v>61</v>
      </c>
      <c r="K32" s="31">
        <f t="shared" si="2"/>
        <v>149</v>
      </c>
      <c r="L32" s="26">
        <f t="shared" si="0"/>
        <v>49.666666666666664</v>
      </c>
      <c r="M32" s="31" t="str">
        <f t="shared" si="3"/>
        <v>P</v>
      </c>
    </row>
    <row r="33" spans="1:13" x14ac:dyDescent="0.25">
      <c r="A33" s="20" t="s">
        <v>17</v>
      </c>
      <c r="B33" s="8"/>
      <c r="C33" s="8"/>
      <c r="D33" s="8"/>
      <c r="E33" s="8"/>
      <c r="F33" s="1">
        <f>VLOOKUP(C8,'3rd Term'!B9:AN48,30,FALSE)</f>
        <v>29</v>
      </c>
      <c r="G33" s="31">
        <f>VLOOKUP(C8,'3rd Term'!B9:AN48,31,FALSE)</f>
        <v>22</v>
      </c>
      <c r="H33" s="31">
        <f t="shared" si="1"/>
        <v>51</v>
      </c>
      <c r="I33" s="31">
        <f>(VLOOKUP(C8,'2nd Term'!B9:AN48,30,FALSE))+(VLOOKUP(C8,'2nd Term'!B9:AN48,31,FALSE))</f>
        <v>77</v>
      </c>
      <c r="J33" s="31">
        <f>(VLOOKUP($C$8,'1st Term'!$B$9:$AN$48,30,FALSE))+(VLOOKUP($C$8,'1st Term'!$B$9:$AN$48,31,FALSE))</f>
        <v>45</v>
      </c>
      <c r="K33" s="31">
        <f t="shared" si="2"/>
        <v>173</v>
      </c>
      <c r="L33" s="26">
        <f t="shared" si="0"/>
        <v>57.666666666666664</v>
      </c>
      <c r="M33" s="31" t="str">
        <f t="shared" si="3"/>
        <v>C</v>
      </c>
    </row>
    <row r="34" spans="1:13" x14ac:dyDescent="0.25">
      <c r="A34" s="20" t="s">
        <v>18</v>
      </c>
      <c r="B34" s="8"/>
      <c r="C34" s="8"/>
      <c r="D34" s="8"/>
      <c r="E34" s="8"/>
      <c r="F34" s="1">
        <f>VLOOKUP(C8,'3rd Term'!B9:AN48,32,FALSE)</f>
        <v>19</v>
      </c>
      <c r="G34" s="31">
        <f>VLOOKUP(C8,'3rd Term'!B9:AN48,33,FALSE)</f>
        <v>35</v>
      </c>
      <c r="H34" s="31">
        <f t="shared" si="1"/>
        <v>54</v>
      </c>
      <c r="I34" s="31">
        <f>(VLOOKUP(C8,'2nd Term'!B9:AN48,32,FALSE))+(VLOOKUP(C8,'2nd Term'!B9:AN48,33,FALSE))</f>
        <v>66</v>
      </c>
      <c r="J34" s="31">
        <f>(VLOOKUP($C$8,'1st Term'!$B$9:$AN$48,32,FALSE))+(VLOOKUP($C$8,'1st Term'!$B$9:$AN$48,33,FALSE))</f>
        <v>61</v>
      </c>
      <c r="K34" s="31">
        <f t="shared" si="2"/>
        <v>181</v>
      </c>
      <c r="L34" s="26">
        <f t="shared" si="0"/>
        <v>60.333333333333336</v>
      </c>
      <c r="M34" s="31" t="str">
        <f t="shared" si="3"/>
        <v>C</v>
      </c>
    </row>
    <row r="35" spans="1:13" x14ac:dyDescent="0.25">
      <c r="A35" s="20" t="s">
        <v>19</v>
      </c>
      <c r="B35" s="8"/>
      <c r="C35" s="8"/>
      <c r="D35" s="8"/>
      <c r="E35" s="8"/>
      <c r="F35" s="1">
        <f>VLOOKUP(C8,'3rd Term'!B9:AN48,34,FALSE)</f>
        <v>17</v>
      </c>
      <c r="G35" s="31">
        <f>VLOOKUP(C8,'3rd Term'!B9:AN48,35,FALSE)</f>
        <v>26</v>
      </c>
      <c r="H35" s="31">
        <f t="shared" si="1"/>
        <v>43</v>
      </c>
      <c r="I35" s="31">
        <f>(VLOOKUP(C8,'2nd Term'!B9:AN48,34,FALSE))+(VLOOKUP(C8,'2nd Term'!B9:AN48,35,FALSE))</f>
        <v>41</v>
      </c>
      <c r="J35" s="31">
        <f>(VLOOKUP($C$8,'1st Term'!$B$9:$AN$48,34,FALSE))+(VLOOKUP($C$8,'1st Term'!$B$9:$AN$48,35,FALSE))</f>
        <v>43</v>
      </c>
      <c r="K35" s="31">
        <f t="shared" si="2"/>
        <v>127</v>
      </c>
      <c r="L35" s="26">
        <f t="shared" si="0"/>
        <v>42.333333333333336</v>
      </c>
      <c r="M35" s="31" t="str">
        <f t="shared" si="3"/>
        <v>P</v>
      </c>
    </row>
    <row r="36" spans="1:13" x14ac:dyDescent="0.25">
      <c r="A36" s="20" t="s">
        <v>20</v>
      </c>
      <c r="B36" s="8"/>
      <c r="C36" s="8"/>
      <c r="D36" s="8"/>
      <c r="E36" s="8"/>
      <c r="F36" s="1">
        <f>VLOOKUP(C8,'3rd Term'!B9:AN48,36,FALSE)</f>
        <v>16</v>
      </c>
      <c r="G36" s="31">
        <f>VLOOKUP(C8,'3rd Term'!B9:AN48,37,FALSE)</f>
        <v>27</v>
      </c>
      <c r="H36" s="31">
        <f t="shared" si="1"/>
        <v>43</v>
      </c>
      <c r="I36" s="31">
        <f>(VLOOKUP(C8,'2nd Term'!B9:AN48,36,FALSE))+(VLOOKUP(C8,'2nd Term'!B9:AN48,37,FALSE))</f>
        <v>78</v>
      </c>
      <c r="J36" s="31">
        <f>(VLOOKUP($C$8,'1st Term'!$B$9:$AN$48,36,FALSE))+(VLOOKUP($C$8,'1st Term'!$B$9:$AN$48,37,FALSE))</f>
        <v>58</v>
      </c>
      <c r="K36" s="31">
        <f t="shared" si="2"/>
        <v>179</v>
      </c>
      <c r="L36" s="26">
        <f t="shared" si="0"/>
        <v>59.666666666666664</v>
      </c>
      <c r="M36" s="31" t="str">
        <f t="shared" si="3"/>
        <v>C</v>
      </c>
    </row>
    <row r="37" spans="1:13" x14ac:dyDescent="0.25">
      <c r="A37" s="18" t="s">
        <v>21</v>
      </c>
      <c r="B37" s="7"/>
      <c r="C37" s="7"/>
      <c r="D37" s="7"/>
      <c r="E37" s="7"/>
      <c r="F37" s="57">
        <f>VLOOKUP(C8,'3rd Term'!B9:AN48,38,FALSE)</f>
        <v>18</v>
      </c>
      <c r="G37" s="31">
        <f>VLOOKUP(C8,'3rd Term'!B9:AN48,39,FALSE)</f>
        <v>19</v>
      </c>
      <c r="H37" s="31">
        <f t="shared" si="1"/>
        <v>37</v>
      </c>
      <c r="I37" s="31">
        <f>(VLOOKUP(C8,'2nd Term'!B9:AN48,38,FALSE))+(VLOOKUP(C8,'2nd Term'!B9:AN48,39,FALSE))</f>
        <v>68</v>
      </c>
      <c r="J37" s="31">
        <f>(VLOOKUP($C$8,'1st Term'!$B$9:$AN$48,38,FALSE))+(VLOOKUP($C$8,'1st Term'!$B$9:$AN$48,39,FALSE))</f>
        <v>38</v>
      </c>
      <c r="K37" s="31">
        <f t="shared" si="2"/>
        <v>143</v>
      </c>
      <c r="L37" s="26">
        <f t="shared" si="0"/>
        <v>47.666666666666664</v>
      </c>
      <c r="M37" s="31" t="str">
        <f t="shared" si="3"/>
        <v>P</v>
      </c>
    </row>
    <row r="43" spans="1:13" x14ac:dyDescent="0.25">
      <c r="G43" s="110" t="s">
        <v>62</v>
      </c>
      <c r="H43" s="110"/>
      <c r="I43" s="110"/>
      <c r="J43" s="110"/>
      <c r="K43" s="110"/>
      <c r="L43" s="110"/>
      <c r="M43" s="110"/>
    </row>
    <row r="44" spans="1:13" x14ac:dyDescent="0.25">
      <c r="A44" s="77" t="s">
        <v>58</v>
      </c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</row>
    <row r="45" spans="1:13" ht="12.75" customHeight="1" x14ac:dyDescent="0.25">
      <c r="A45" s="50" t="str">
        <f>VLOOKUP(C8,comments!B8:X47,7,0)</f>
        <v>She is improving gradually but needs to participate more in class discussions.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</row>
    <row r="46" spans="1:13" x14ac:dyDescent="0.25">
      <c r="A46" s="50"/>
      <c r="B46" s="50"/>
      <c r="C46" s="50"/>
      <c r="D46" s="50"/>
      <c r="E46" s="50"/>
      <c r="F46" s="78"/>
      <c r="G46" s="78"/>
      <c r="H46" s="78"/>
      <c r="I46" s="78"/>
      <c r="J46" s="78"/>
      <c r="K46" s="78"/>
      <c r="L46" s="78"/>
      <c r="M46" s="78"/>
    </row>
    <row r="47" spans="1:13" x14ac:dyDescent="0.25">
      <c r="A47" s="79" t="s">
        <v>60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</row>
    <row r="48" spans="1:13" ht="12" customHeight="1" x14ac:dyDescent="0.25">
      <c r="A48" s="50" t="str">
        <f>VLOOKUP(C8,comments!B8:X47,14,0)</f>
        <v>Just fair. You can improve if only you will be more regular at school next term. Promoted to the Next Class.</v>
      </c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</row>
    <row r="49" spans="1:13" x14ac:dyDescent="0.25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</row>
    <row r="50" spans="1:13" x14ac:dyDescent="0.25">
      <c r="A50" s="79" t="s">
        <v>59</v>
      </c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</row>
    <row r="51" spans="1:13" ht="12" customHeight="1" x14ac:dyDescent="0.25">
      <c r="A51" s="78" t="s">
        <v>61</v>
      </c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</row>
  </sheetData>
  <sheetProtection algorithmName="SHA-512" hashValue="c2MZl+K1ijfHadV9tBiSTGjIRIRFFrc7Cjf0YgzrOIXU8ncnccp/34zTknygD6/l2EUgvCFWVEhrrbpwmY5r1g==" saltValue="Os7XCfl4H6o8wHV6z/33wA==" spinCount="100000" sheet="1" scenarios="1"/>
  <mergeCells count="13">
    <mergeCell ref="I14:I17"/>
    <mergeCell ref="A18:B18"/>
    <mergeCell ref="G43:M43"/>
    <mergeCell ref="B1:M2"/>
    <mergeCell ref="B3:M3"/>
    <mergeCell ref="B4:M4"/>
    <mergeCell ref="B5:M6"/>
    <mergeCell ref="K7:M12"/>
    <mergeCell ref="A8:B8"/>
    <mergeCell ref="A9:B9"/>
    <mergeCell ref="A10:B10"/>
    <mergeCell ref="A11:B11"/>
    <mergeCell ref="A12:B12"/>
  </mergeCells>
  <conditionalFormatting sqref="M19:M37">
    <cfRule type="cellIs" dxfId="69" priority="3" operator="equal">
      <formula>"F"</formula>
    </cfRule>
    <cfRule type="cellIs" dxfId="68" priority="4" operator="equal">
      <formula>"P"</formula>
    </cfRule>
    <cfRule type="cellIs" dxfId="67" priority="5" operator="equal">
      <formula>"C"</formula>
    </cfRule>
    <cfRule type="cellIs" dxfId="66" priority="6" operator="equal">
      <formula>"A"</formula>
    </cfRule>
  </conditionalFormatting>
  <conditionalFormatting sqref="F19:J37">
    <cfRule type="cellIs" dxfId="65" priority="1" operator="equal">
      <formula>0</formula>
    </cfRule>
    <cfRule type="colorScale" priority="2">
      <colorScale>
        <cfvo type="min"/>
        <cfvo type="num" val="0"/>
        <color rgb="FFFF7128"/>
        <color theme="0"/>
      </colorScale>
    </cfRule>
  </conditionalFormatting>
  <dataValidations count="1">
    <dataValidation type="list" allowBlank="1" showInputMessage="1" showErrorMessage="1" sqref="M14:M17" xr:uid="{F5659637-B072-4FC7-BEC7-D1B14BD1228C}">
      <formula1>"A,B,C,D,E"</formula1>
    </dataValidation>
  </dataValidations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110E2-002A-40B5-80D8-542781CF983B}">
  <sheetPr>
    <tabColor rgb="FF7030A0"/>
  </sheetPr>
  <dimension ref="A1:M51"/>
  <sheetViews>
    <sheetView workbookViewId="0">
      <selection activeCell="I11" sqref="I11"/>
    </sheetView>
  </sheetViews>
  <sheetFormatPr defaultRowHeight="15" x14ac:dyDescent="0.25"/>
  <cols>
    <col min="3" max="3" width="8.140625" customWidth="1"/>
    <col min="4" max="4" width="9.42578125" customWidth="1"/>
    <col min="5" max="5" width="10.5703125" customWidth="1"/>
    <col min="6" max="6" width="6.28515625" customWidth="1"/>
    <col min="7" max="8" width="5.85546875" customWidth="1"/>
    <col min="9" max="9" width="5.5703125" customWidth="1"/>
    <col min="10" max="11" width="5.28515625" customWidth="1"/>
    <col min="12" max="12" width="6.28515625" customWidth="1"/>
    <col min="13" max="13" width="5.7109375" customWidth="1"/>
  </cols>
  <sheetData>
    <row r="1" spans="1:13" ht="15" customHeight="1" x14ac:dyDescent="0.25">
      <c r="A1" s="10"/>
      <c r="B1" s="116" t="s">
        <v>185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</row>
    <row r="2" spans="1:13" ht="15" customHeight="1" x14ac:dyDescent="0.25">
      <c r="A2" s="10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</row>
    <row r="3" spans="1:13" ht="15.75" x14ac:dyDescent="0.25">
      <c r="A3" s="10"/>
      <c r="B3" s="117" t="s">
        <v>184</v>
      </c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</row>
    <row r="4" spans="1:13" ht="15.75" x14ac:dyDescent="0.25">
      <c r="A4" s="10"/>
      <c r="B4" s="118" t="s">
        <v>186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</row>
    <row r="5" spans="1:13" ht="15" customHeight="1" x14ac:dyDescent="0.25">
      <c r="A5" s="10"/>
      <c r="B5" s="119" t="s">
        <v>36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</row>
    <row r="6" spans="1:13" ht="15" customHeight="1" x14ac:dyDescent="0.25">
      <c r="A6" s="10"/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</row>
    <row r="7" spans="1:13" ht="15" customHeight="1" x14ac:dyDescent="0.25">
      <c r="I7" s="10"/>
      <c r="J7" s="10"/>
      <c r="K7" s="122" t="s">
        <v>105</v>
      </c>
      <c r="L7" s="122"/>
      <c r="M7" s="122"/>
    </row>
    <row r="8" spans="1:13" x14ac:dyDescent="0.25">
      <c r="A8" s="120" t="s">
        <v>37</v>
      </c>
      <c r="B8" s="120"/>
      <c r="C8" s="29" t="str">
        <f>('1st Term'!B18)</f>
        <v>HAMMED OLAMIDE</v>
      </c>
      <c r="D8" s="8"/>
      <c r="E8" s="8"/>
      <c r="F8" s="8"/>
      <c r="G8" s="8"/>
      <c r="H8" s="9"/>
      <c r="I8" s="10"/>
      <c r="J8" s="10"/>
      <c r="K8" s="122"/>
      <c r="L8" s="122"/>
      <c r="M8" s="122"/>
    </row>
    <row r="9" spans="1:13" x14ac:dyDescent="0.25">
      <c r="A9" s="121" t="s">
        <v>38</v>
      </c>
      <c r="B9" s="115"/>
      <c r="C9" s="29" t="str">
        <f>('1st Term'!B7)</f>
        <v>JSS 1A</v>
      </c>
      <c r="D9" s="8"/>
      <c r="E9" s="8"/>
      <c r="F9" s="8"/>
      <c r="G9" s="8"/>
      <c r="H9" s="9"/>
      <c r="I9" s="10"/>
      <c r="J9" s="10"/>
      <c r="K9" s="122"/>
      <c r="L9" s="122"/>
      <c r="M9" s="122"/>
    </row>
    <row r="10" spans="1:13" x14ac:dyDescent="0.25">
      <c r="A10" s="121" t="s">
        <v>39</v>
      </c>
      <c r="B10" s="115"/>
      <c r="C10" s="29" t="str">
        <f>(comments!C4)</f>
        <v>2025/2026</v>
      </c>
      <c r="D10" s="8"/>
      <c r="E10" s="8"/>
      <c r="F10" s="43"/>
      <c r="G10" s="43"/>
      <c r="H10" s="9"/>
      <c r="I10" s="10"/>
      <c r="J10" s="10"/>
      <c r="K10" s="122"/>
      <c r="L10" s="122"/>
      <c r="M10" s="122"/>
    </row>
    <row r="11" spans="1:13" x14ac:dyDescent="0.25">
      <c r="A11" s="121" t="s">
        <v>40</v>
      </c>
      <c r="B11" s="115"/>
      <c r="C11" s="30" t="str">
        <f>(comments!B5)</f>
        <v>THIRD TERM</v>
      </c>
      <c r="D11" s="7"/>
      <c r="E11" s="7"/>
      <c r="F11" s="13" t="s">
        <v>167</v>
      </c>
      <c r="G11" s="8"/>
      <c r="H11" s="53">
        <f>INDEX(comments!D8:D47,MATCH(sheet10!C8,comments!B8:B47,0))</f>
        <v>36.843137254901961</v>
      </c>
      <c r="I11" s="10"/>
      <c r="J11" s="10"/>
      <c r="K11" s="122"/>
      <c r="L11" s="122"/>
      <c r="M11" s="122"/>
    </row>
    <row r="12" spans="1:13" x14ac:dyDescent="0.25">
      <c r="A12" s="114" t="s">
        <v>41</v>
      </c>
      <c r="B12" s="115"/>
      <c r="C12" s="30" t="str">
        <f>(comments!E6)</f>
        <v>20TH APRIL 2026</v>
      </c>
      <c r="D12" s="7"/>
      <c r="E12" s="7"/>
      <c r="F12" s="13" t="s">
        <v>44</v>
      </c>
      <c r="G12" s="8"/>
      <c r="H12" s="51" t="str">
        <f>INDEX(comments!E8:E47,MATCH(sheet10!C8,comments!B8:B47,0))</f>
        <v>22nd</v>
      </c>
      <c r="I12" s="10"/>
      <c r="J12" s="10"/>
      <c r="K12" s="123"/>
      <c r="L12" s="123"/>
      <c r="M12" s="123"/>
    </row>
    <row r="13" spans="1:13" x14ac:dyDescent="0.25">
      <c r="A13" s="48"/>
      <c r="B13" s="49"/>
      <c r="C13" s="50"/>
      <c r="F13" s="25"/>
      <c r="H13" s="52"/>
      <c r="I13" s="10"/>
      <c r="J13" s="10"/>
      <c r="K13" s="54"/>
      <c r="L13" s="54"/>
      <c r="M13" s="54"/>
    </row>
    <row r="14" spans="1:13" ht="16.5" customHeight="1" x14ac:dyDescent="0.25">
      <c r="A14" s="16" t="s">
        <v>48</v>
      </c>
      <c r="B14" s="8"/>
      <c r="C14" s="8"/>
      <c r="D14" s="13" t="s">
        <v>49</v>
      </c>
      <c r="E14" s="8"/>
      <c r="F14" s="8"/>
      <c r="G14" s="8"/>
      <c r="H14" s="15"/>
      <c r="I14" s="113" t="s">
        <v>50</v>
      </c>
      <c r="J14" s="45" t="s">
        <v>32</v>
      </c>
      <c r="K14" s="44"/>
      <c r="L14" s="17"/>
      <c r="M14" s="44" t="s">
        <v>52</v>
      </c>
    </row>
    <row r="15" spans="1:13" ht="21" customHeight="1" x14ac:dyDescent="0.25">
      <c r="A15" s="11" t="s">
        <v>46</v>
      </c>
      <c r="B15" s="7"/>
      <c r="C15" s="7"/>
      <c r="D15" s="55">
        <f>(comments!C6)</f>
        <v>110</v>
      </c>
      <c r="E15" s="8"/>
      <c r="F15" s="8"/>
      <c r="G15" s="8"/>
      <c r="H15" s="14"/>
      <c r="I15" s="113"/>
      <c r="J15" s="45" t="s">
        <v>33</v>
      </c>
      <c r="K15" s="44"/>
      <c r="L15" s="17"/>
      <c r="M15" s="44" t="s">
        <v>51</v>
      </c>
    </row>
    <row r="16" spans="1:13" ht="18.75" customHeight="1" x14ac:dyDescent="0.25">
      <c r="A16" s="12" t="s">
        <v>47</v>
      </c>
      <c r="B16" s="8"/>
      <c r="C16" s="8"/>
      <c r="D16" s="56">
        <f>VLOOKUP(C8,comments!B8:C47,2,FALSE)</f>
        <v>0</v>
      </c>
      <c r="E16" s="8"/>
      <c r="F16" s="8"/>
      <c r="G16" s="8"/>
      <c r="H16" s="14"/>
      <c r="I16" s="113"/>
      <c r="J16" s="45" t="s">
        <v>34</v>
      </c>
      <c r="K16" s="44"/>
      <c r="L16" s="17"/>
      <c r="M16" s="44" t="s">
        <v>51</v>
      </c>
    </row>
    <row r="17" spans="1:13" ht="17.25" customHeight="1" x14ac:dyDescent="0.25">
      <c r="A17" s="11" t="s">
        <v>45</v>
      </c>
      <c r="B17" s="7"/>
      <c r="C17" s="7"/>
      <c r="D17" s="56">
        <f>(comments!D6)</f>
        <v>22</v>
      </c>
      <c r="E17" s="8"/>
      <c r="F17" s="8"/>
      <c r="G17" s="8"/>
      <c r="H17" s="14"/>
      <c r="I17" s="113"/>
      <c r="J17" s="47" t="s">
        <v>35</v>
      </c>
      <c r="K17" s="46"/>
      <c r="L17" s="40"/>
      <c r="M17" s="44" t="s">
        <v>52</v>
      </c>
    </row>
    <row r="18" spans="1:13" ht="61.5" customHeight="1" x14ac:dyDescent="0.25">
      <c r="A18" s="111" t="s">
        <v>53</v>
      </c>
      <c r="B18" s="112"/>
      <c r="C18" s="19"/>
      <c r="D18" s="19"/>
      <c r="E18" s="19"/>
      <c r="F18" s="41" t="s">
        <v>172</v>
      </c>
      <c r="G18" s="41" t="s">
        <v>171</v>
      </c>
      <c r="H18" s="41" t="s">
        <v>173</v>
      </c>
      <c r="I18" s="42" t="s">
        <v>174</v>
      </c>
      <c r="J18" s="42" t="s">
        <v>175</v>
      </c>
      <c r="K18" s="41" t="s">
        <v>165</v>
      </c>
      <c r="L18" s="41" t="s">
        <v>166</v>
      </c>
      <c r="M18" s="41" t="s">
        <v>54</v>
      </c>
    </row>
    <row r="19" spans="1:13" ht="15" customHeight="1" x14ac:dyDescent="0.25">
      <c r="A19" s="20" t="s">
        <v>6</v>
      </c>
      <c r="B19" s="8"/>
      <c r="C19" s="8"/>
      <c r="D19" s="8"/>
      <c r="E19" s="8"/>
      <c r="F19" s="31">
        <f>VLOOKUP(C8,'3rd Term'!B9:AN48,2,FALSE)</f>
        <v>21</v>
      </c>
      <c r="G19" s="31">
        <f>VLOOKUP(C8,'3rd Term'!B9:AN48,3,FALSE)</f>
        <v>31</v>
      </c>
      <c r="H19" s="31">
        <f>SUM(F19:G19)</f>
        <v>52</v>
      </c>
      <c r="I19" s="5">
        <f>(VLOOKUP(C8,'2nd Term'!B9:AN48,2,FALSE))+(VLOOKUP(C8,'2nd Term'!B9:AN48,3,FALSE))</f>
        <v>33</v>
      </c>
      <c r="J19" s="31">
        <f>(VLOOKUP($C$8,'1st Term'!$B$9:$AN$48,2,FALSE))+(VLOOKUP($C$8,'1st Term'!$B$9:$AN$48,3,FALSE))</f>
        <v>33</v>
      </c>
      <c r="K19" s="31">
        <f>IF(SUM(H19:J19)=0,"-",SUM(H19:J19))</f>
        <v>118</v>
      </c>
      <c r="L19" s="26">
        <f t="shared" ref="L19:L37" si="0">IFERROR(((H19)+(I19)+(J19))/((--(H19&gt;0))+(--(I19&gt;0))+(--(J19&gt;0))),"-")</f>
        <v>39.333333333333336</v>
      </c>
      <c r="M19" s="31" t="str">
        <f>IF(L19="-","-",IF(L19&gt;=70,"A",IF(L19&gt;=50,"C",IF(L19&gt;=40,"P","F"))))</f>
        <v>F</v>
      </c>
    </row>
    <row r="20" spans="1:13" ht="15" customHeight="1" x14ac:dyDescent="0.25">
      <c r="A20" s="20" t="s">
        <v>3</v>
      </c>
      <c r="B20" s="8"/>
      <c r="C20" s="8"/>
      <c r="D20" s="8"/>
      <c r="E20" s="8"/>
      <c r="F20" s="1">
        <f>VLOOKUP(C8,'3rd Term'!B9:AN48,4,FALSE)</f>
        <v>21</v>
      </c>
      <c r="G20" s="31">
        <f>VLOOKUP(C8,'3rd Term'!B9:AN48,5,FALSE)</f>
        <v>47</v>
      </c>
      <c r="H20" s="31">
        <f t="shared" ref="H20:H37" si="1">SUM(F20:G20)</f>
        <v>68</v>
      </c>
      <c r="I20" s="31">
        <f>(VLOOKUP(C8,'2nd Term'!B9:AN48,4,FALSE))+(VLOOKUP(C8,'2nd Term'!B9:AN48,5,FALSE))</f>
        <v>23</v>
      </c>
      <c r="J20" s="31">
        <f>(VLOOKUP($C$8,'1st Term'!$B$9:$AN$48,4,FALSE))+(VLOOKUP($C$8,'1st Term'!$B$9:$AN$48,5,FALSE))</f>
        <v>22</v>
      </c>
      <c r="K20" s="31">
        <f t="shared" ref="K20:K37" si="2">IF(SUM(H20:J20)=0,"-",SUM(H20:J20))</f>
        <v>113</v>
      </c>
      <c r="L20" s="26">
        <f t="shared" si="0"/>
        <v>37.666666666666664</v>
      </c>
      <c r="M20" s="31" t="str">
        <f t="shared" ref="M20:M37" si="3">IF(L20="-","-",IF(L20&gt;=70,"A",IF(L20&gt;=50,"C",IF(L20&gt;=40,"P","F"))))</f>
        <v>F</v>
      </c>
    </row>
    <row r="21" spans="1:13" ht="15" customHeight="1" x14ac:dyDescent="0.25">
      <c r="A21" s="20" t="s">
        <v>4</v>
      </c>
      <c r="B21" s="8"/>
      <c r="C21" s="8"/>
      <c r="D21" s="8"/>
      <c r="E21" s="8"/>
      <c r="F21" s="1">
        <f>VLOOKUP(C8,'3rd Term'!B9:AN48,6,FALSE)</f>
        <v>19</v>
      </c>
      <c r="G21" s="31">
        <f>VLOOKUP(C8,'3rd Term'!B9:AN48,7,FALSE)</f>
        <v>45</v>
      </c>
      <c r="H21" s="31">
        <f t="shared" si="1"/>
        <v>64</v>
      </c>
      <c r="I21" s="31">
        <f>(VLOOKUP(C8,'2nd Term'!B9:AN48,6,FALSE))+(VLOOKUP(C8,'2nd Term'!B9:AN48,7,FALSE))</f>
        <v>29</v>
      </c>
      <c r="J21" s="31">
        <f>(VLOOKUP($C$8,'1st Term'!$B$9:$AN$48,6,FALSE))+(VLOOKUP($C$8,'1st Term'!$B$9:$AN$48,7,FALSE))</f>
        <v>31</v>
      </c>
      <c r="K21" s="31">
        <f t="shared" si="2"/>
        <v>124</v>
      </c>
      <c r="L21" s="26">
        <f t="shared" si="0"/>
        <v>41.333333333333336</v>
      </c>
      <c r="M21" s="31" t="str">
        <f t="shared" si="3"/>
        <v>P</v>
      </c>
    </row>
    <row r="22" spans="1:13" ht="15" customHeight="1" x14ac:dyDescent="0.25">
      <c r="A22" s="20" t="s">
        <v>5</v>
      </c>
      <c r="B22" s="8"/>
      <c r="C22" s="8"/>
      <c r="D22" s="8"/>
      <c r="E22" s="8"/>
      <c r="F22" s="1">
        <f>VLOOKUP(C8,'3rd Term'!B9:AN48,8,FALSE)</f>
        <v>20</v>
      </c>
      <c r="G22" s="31">
        <f>VLOOKUP(C8,'3rd Term'!B9:AN48,9,FALSE)</f>
        <v>25</v>
      </c>
      <c r="H22" s="31">
        <f t="shared" si="1"/>
        <v>45</v>
      </c>
      <c r="I22" s="31">
        <f>(VLOOKUP(C8,'2nd Term'!B9:AN48,8,FALSE))+(VLOOKUP(C8,'2nd Term'!B9:AN48,9,FALSE))</f>
        <v>21</v>
      </c>
      <c r="J22" s="31">
        <f>(VLOOKUP($C$8,'1st Term'!$B$9:$AN$48,8,FALSE))+(VLOOKUP($C$8,'1st Term'!$B$9:$AN$48,9,FALSE))</f>
        <v>29</v>
      </c>
      <c r="K22" s="31">
        <f t="shared" si="2"/>
        <v>95</v>
      </c>
      <c r="L22" s="26">
        <f t="shared" si="0"/>
        <v>31.666666666666668</v>
      </c>
      <c r="M22" s="31" t="str">
        <f t="shared" si="3"/>
        <v>F</v>
      </c>
    </row>
    <row r="23" spans="1:13" ht="15" customHeight="1" x14ac:dyDescent="0.25">
      <c r="A23" s="20" t="s">
        <v>7</v>
      </c>
      <c r="B23" s="8"/>
      <c r="C23" s="8"/>
      <c r="D23" s="8"/>
      <c r="E23" s="8"/>
      <c r="F23" s="1">
        <f>VLOOKUP(C8,'3rd Term'!B9:AN48,10,FALSE)</f>
        <v>17</v>
      </c>
      <c r="G23" s="31">
        <f>VLOOKUP(C8,'3rd Term'!B9:AN48,11,FALSE)</f>
        <v>32</v>
      </c>
      <c r="H23" s="31">
        <f t="shared" si="1"/>
        <v>49</v>
      </c>
      <c r="I23" s="31">
        <f>(VLOOKUP(C8,'2nd Term'!B9:AN48,10,FALSE))+(VLOOKUP(C8,'2nd Term'!B9:AN48,11,FALSE))</f>
        <v>39</v>
      </c>
      <c r="J23" s="31">
        <f>(VLOOKUP($C$8,'1st Term'!$B$9:$AN$48,10,FALSE))+(VLOOKUP($C$8,'1st Term'!$B$9:$AN$48,11,FALSE))</f>
        <v>30</v>
      </c>
      <c r="K23" s="31">
        <f t="shared" si="2"/>
        <v>118</v>
      </c>
      <c r="L23" s="26">
        <f t="shared" si="0"/>
        <v>39.333333333333336</v>
      </c>
      <c r="M23" s="31" t="str">
        <f t="shared" si="3"/>
        <v>F</v>
      </c>
    </row>
    <row r="24" spans="1:13" ht="15" customHeight="1" x14ac:dyDescent="0.25">
      <c r="A24" s="20" t="s">
        <v>8</v>
      </c>
      <c r="B24" s="8"/>
      <c r="C24" s="8"/>
      <c r="D24" s="8"/>
      <c r="E24" s="8"/>
      <c r="F24" s="1">
        <f>VLOOKUP(C8,'3rd Term'!B9:AN48,12,FALSE)</f>
        <v>21</v>
      </c>
      <c r="G24" s="31">
        <f>VLOOKUP(C8,'3rd Term'!B9:AN48,13,FALSE)</f>
        <v>46</v>
      </c>
      <c r="H24" s="31">
        <f t="shared" si="1"/>
        <v>67</v>
      </c>
      <c r="I24" s="31">
        <f>(VLOOKUP(C8,'2nd Term'!B9:AN48,12,FALSE))+(VLOOKUP(C8,'2nd Term'!B9:AN48,13,FALSE))</f>
        <v>25</v>
      </c>
      <c r="J24" s="31">
        <f>(VLOOKUP($C$8,'1st Term'!$B$9:$AN$48,12,FALSE))+(VLOOKUP($C$8,'1st Term'!$B$9:$AN$48,13,FALSE))</f>
        <v>24</v>
      </c>
      <c r="K24" s="31">
        <f t="shared" si="2"/>
        <v>116</v>
      </c>
      <c r="L24" s="26">
        <f t="shared" si="0"/>
        <v>38.666666666666664</v>
      </c>
      <c r="M24" s="31" t="str">
        <f t="shared" si="3"/>
        <v>F</v>
      </c>
    </row>
    <row r="25" spans="1:13" ht="15" customHeight="1" x14ac:dyDescent="0.25">
      <c r="A25" s="20" t="s">
        <v>9</v>
      </c>
      <c r="B25" s="8"/>
      <c r="C25" s="8"/>
      <c r="D25" s="8"/>
      <c r="E25" s="8"/>
      <c r="F25" s="1">
        <f>VLOOKUP(C8,'3rd Term'!B9:AN48,14,FALSE)</f>
        <v>28</v>
      </c>
      <c r="G25" s="31">
        <f>VLOOKUP(C8,'3rd Term'!B9:AN48,15,FALSE)</f>
        <v>30</v>
      </c>
      <c r="H25" s="31">
        <f t="shared" si="1"/>
        <v>58</v>
      </c>
      <c r="I25" s="31">
        <f>(VLOOKUP(C8,'2nd Term'!B9:AN48,14,FALSE))+(VLOOKUP(C8,'2nd Term'!B9:AN48,15,FALSE))</f>
        <v>38</v>
      </c>
      <c r="J25" s="31">
        <f>(VLOOKUP($C$8,'1st Term'!$B$9:$AN$48,14,FALSE))+(VLOOKUP($C$8,'1st Term'!$B$9:$AN$48,15,FALSE))</f>
        <v>34</v>
      </c>
      <c r="K25" s="31">
        <f t="shared" si="2"/>
        <v>130</v>
      </c>
      <c r="L25" s="26">
        <f t="shared" si="0"/>
        <v>43.333333333333336</v>
      </c>
      <c r="M25" s="31" t="str">
        <f t="shared" si="3"/>
        <v>P</v>
      </c>
    </row>
    <row r="26" spans="1:13" ht="15" customHeight="1" x14ac:dyDescent="0.25">
      <c r="A26" s="20" t="s">
        <v>10</v>
      </c>
      <c r="B26" s="8"/>
      <c r="C26" s="8"/>
      <c r="D26" s="8"/>
      <c r="E26" s="8"/>
      <c r="F26" s="1">
        <f>VLOOKUP(C8,'3rd Term'!B9:AN48,16,FALSE)</f>
        <v>13</v>
      </c>
      <c r="G26" s="31">
        <f>VLOOKUP(C8,'3rd Term'!B9:AN48,17,FALSE)</f>
        <v>17</v>
      </c>
      <c r="H26" s="31">
        <f t="shared" si="1"/>
        <v>30</v>
      </c>
      <c r="I26" s="31">
        <f>(VLOOKUP(C8,'2nd Term'!B9:AN48,16,FALSE))+(VLOOKUP(C8,'2nd Term'!B9:AN48,17,FALSE))</f>
        <v>33</v>
      </c>
      <c r="J26" s="31">
        <f>(VLOOKUP($C$8,'1st Term'!$B$9:$AN$48,16,FALSE))+(VLOOKUP($C$8,'1st Term'!$B$9:$AN$48,17,FALSE))</f>
        <v>26</v>
      </c>
      <c r="K26" s="31">
        <f t="shared" si="2"/>
        <v>89</v>
      </c>
      <c r="L26" s="26">
        <f t="shared" si="0"/>
        <v>29.666666666666668</v>
      </c>
      <c r="M26" s="31" t="str">
        <f t="shared" si="3"/>
        <v>F</v>
      </c>
    </row>
    <row r="27" spans="1:13" ht="15" hidden="1" customHeight="1" x14ac:dyDescent="0.25">
      <c r="A27" s="20" t="s">
        <v>11</v>
      </c>
      <c r="B27" s="8"/>
      <c r="C27" s="8"/>
      <c r="D27" s="8"/>
      <c r="E27" s="8"/>
      <c r="F27" s="1">
        <f>VLOOKUP(C8,'3rd Term'!B9:AN48,18,FALSE)</f>
        <v>0</v>
      </c>
      <c r="G27" s="31">
        <f>VLOOKUP(C8,'3rd Term'!B9:AN48,19,FALSE)</f>
        <v>0</v>
      </c>
      <c r="H27" s="31">
        <f t="shared" si="1"/>
        <v>0</v>
      </c>
      <c r="I27" s="31">
        <f>(VLOOKUP(C8,'2nd Term'!B9:AN48,18,FALSE))+(VLOOKUP(C8,'2nd Term'!B9:AN48,19,FALSE))</f>
        <v>0</v>
      </c>
      <c r="J27" s="31">
        <f>(VLOOKUP($C$8,'1st Term'!$B$9:$AN$48,18,FALSE))+(VLOOKUP($C$8,'1st Term'!$B$9:$AN$48,19,FALSE))</f>
        <v>0</v>
      </c>
      <c r="K27" s="31" t="str">
        <f t="shared" si="2"/>
        <v>-</v>
      </c>
      <c r="L27" s="26" t="str">
        <f t="shared" si="0"/>
        <v>-</v>
      </c>
      <c r="M27" s="31" t="str">
        <f t="shared" si="3"/>
        <v>-</v>
      </c>
    </row>
    <row r="28" spans="1:13" ht="15" customHeight="1" x14ac:dyDescent="0.25">
      <c r="A28" s="20" t="s">
        <v>13</v>
      </c>
      <c r="B28" s="8"/>
      <c r="C28" s="8"/>
      <c r="D28" s="8"/>
      <c r="E28" s="8"/>
      <c r="F28" s="1">
        <f>VLOOKUP(C8,'3rd Term'!B9:AN48,20,FALSE)</f>
        <v>30</v>
      </c>
      <c r="G28" s="31">
        <f>VLOOKUP(C8,'3rd Term'!B9:AN48,21,FALSE)</f>
        <v>60</v>
      </c>
      <c r="H28" s="31">
        <f t="shared" si="1"/>
        <v>90</v>
      </c>
      <c r="I28" s="31">
        <f>(VLOOKUP(C8,'2nd Term'!B9:AN48,20,FALSE))+(VLOOKUP(C8,'2nd Term'!B9:AN48,21,FALSE))</f>
        <v>14</v>
      </c>
      <c r="J28" s="31">
        <f>(VLOOKUP($C$8,'1st Term'!$B$9:$AN$48,20,FALSE))+(VLOOKUP($C$8,'1st Term'!$B$9:$AN$48,21,FALSE))</f>
        <v>17</v>
      </c>
      <c r="K28" s="31">
        <f t="shared" si="2"/>
        <v>121</v>
      </c>
      <c r="L28" s="26">
        <f t="shared" si="0"/>
        <v>40.333333333333336</v>
      </c>
      <c r="M28" s="31" t="str">
        <f t="shared" si="3"/>
        <v>P</v>
      </c>
    </row>
    <row r="29" spans="1:13" x14ac:dyDescent="0.25">
      <c r="A29" s="20" t="s">
        <v>14</v>
      </c>
      <c r="B29" s="8"/>
      <c r="C29" s="8"/>
      <c r="D29" s="8"/>
      <c r="E29" s="8"/>
      <c r="F29" s="1">
        <f>VLOOKUP(C8,'3rd Term'!B9:AN48,22,FALSE)</f>
        <v>27</v>
      </c>
      <c r="G29" s="31">
        <f>VLOOKUP(C8,'3rd Term'!B9:AN48,23,FALSE)</f>
        <v>27</v>
      </c>
      <c r="H29" s="31">
        <f t="shared" si="1"/>
        <v>54</v>
      </c>
      <c r="I29" s="31">
        <f>(VLOOKUP(C8,'2nd Term'!B9:AN48,22,FALSE))+(VLOOKUP(C8,'2nd Term'!B9:AN48,23,FALSE))</f>
        <v>25</v>
      </c>
      <c r="J29" s="31">
        <f>(VLOOKUP($C$8,'1st Term'!$B$9:$AN$48,22,FALSE))+(VLOOKUP($C$8,'1st Term'!$B$9:$AN$48,23,FALSE))</f>
        <v>18</v>
      </c>
      <c r="K29" s="31">
        <f t="shared" si="2"/>
        <v>97</v>
      </c>
      <c r="L29" s="26">
        <f t="shared" si="0"/>
        <v>32.333333333333336</v>
      </c>
      <c r="M29" s="31" t="str">
        <f t="shared" si="3"/>
        <v>F</v>
      </c>
    </row>
    <row r="30" spans="1:13" x14ac:dyDescent="0.25">
      <c r="A30" s="20" t="s">
        <v>15</v>
      </c>
      <c r="B30" s="8"/>
      <c r="C30" s="8"/>
      <c r="D30" s="8"/>
      <c r="E30" s="8"/>
      <c r="F30" s="1">
        <f>VLOOKUP(C8,'3rd Term'!B9:AN48,24,FALSE)</f>
        <v>25</v>
      </c>
      <c r="G30" s="31">
        <f>VLOOKUP(C8,'3rd Term'!B9:AN48,25,FALSE)</f>
        <v>28</v>
      </c>
      <c r="H30" s="31">
        <f t="shared" si="1"/>
        <v>53</v>
      </c>
      <c r="I30" s="31">
        <f>(VLOOKUP(C8,'2nd Term'!B9:AN48,24,FALSE))+(VLOOKUP(C8,'2nd Term'!B9:AN48,25,FALSE))</f>
        <v>30</v>
      </c>
      <c r="J30" s="31">
        <f>(VLOOKUP($C$8,'1st Term'!$B$9:$AN$48,24,FALSE))+(VLOOKUP($C$8,'1st Term'!$B$9:$AN$48,25,FALSE))</f>
        <v>40</v>
      </c>
      <c r="K30" s="31">
        <f t="shared" si="2"/>
        <v>123</v>
      </c>
      <c r="L30" s="26">
        <f t="shared" si="0"/>
        <v>41</v>
      </c>
      <c r="M30" s="31" t="str">
        <f t="shared" si="3"/>
        <v>P</v>
      </c>
    </row>
    <row r="31" spans="1:13" hidden="1" x14ac:dyDescent="0.25">
      <c r="A31" s="20" t="s">
        <v>22</v>
      </c>
      <c r="B31" s="8"/>
      <c r="C31" s="8"/>
      <c r="D31" s="8"/>
      <c r="E31" s="8"/>
      <c r="F31" s="1">
        <f>VLOOKUP(C8,'3rd Term'!B9:AN48,26,FALSE)</f>
        <v>0</v>
      </c>
      <c r="G31" s="31">
        <f>VLOOKUP(C8,'3rd Term'!B9:AN48,27,FALSE)</f>
        <v>0</v>
      </c>
      <c r="H31" s="31">
        <f t="shared" si="1"/>
        <v>0</v>
      </c>
      <c r="I31" s="31">
        <f>(VLOOKUP(C8,'2nd Term'!B9:AN48,26,FALSE))+(VLOOKUP(C8,'2nd Term'!B9:AN48,27,FALSE))</f>
        <v>0</v>
      </c>
      <c r="J31" s="31">
        <f>(VLOOKUP($C$8,'1st Term'!$B$9:$AN$48,26,FALSE))+(VLOOKUP($C$8,'1st Term'!$B$9:$AN$48,27,FALSE))</f>
        <v>0</v>
      </c>
      <c r="K31" s="31" t="str">
        <f t="shared" si="2"/>
        <v>-</v>
      </c>
      <c r="L31" s="26" t="str">
        <f t="shared" si="0"/>
        <v>-</v>
      </c>
      <c r="M31" s="31" t="str">
        <f t="shared" si="3"/>
        <v>-</v>
      </c>
    </row>
    <row r="32" spans="1:13" x14ac:dyDescent="0.25">
      <c r="A32" s="20" t="s">
        <v>16</v>
      </c>
      <c r="B32" s="8"/>
      <c r="C32" s="8"/>
      <c r="D32" s="8"/>
      <c r="E32" s="8"/>
      <c r="F32" s="1">
        <f>VLOOKUP(C8,'3rd Term'!B9:AN48,28,FALSE)</f>
        <v>19</v>
      </c>
      <c r="G32" s="31">
        <f>VLOOKUP(C8,'3rd Term'!B9:AN48,29,FALSE)</f>
        <v>31</v>
      </c>
      <c r="H32" s="31">
        <f t="shared" si="1"/>
        <v>50</v>
      </c>
      <c r="I32" s="31">
        <f>(VLOOKUP(C8,'2nd Term'!B9:AN48,28,FALSE))+(VLOOKUP(C8,'2nd Term'!B9:AN48,29,FALSE))</f>
        <v>15</v>
      </c>
      <c r="J32" s="31">
        <f>(VLOOKUP($C$8,'1st Term'!$B$9:$AN$48,28,FALSE))+(VLOOKUP($C$8,'1st Term'!$B$9:$AN$48,29,FALSE))</f>
        <v>13</v>
      </c>
      <c r="K32" s="31">
        <f t="shared" si="2"/>
        <v>78</v>
      </c>
      <c r="L32" s="26">
        <f t="shared" si="0"/>
        <v>26</v>
      </c>
      <c r="M32" s="31" t="str">
        <f t="shared" si="3"/>
        <v>F</v>
      </c>
    </row>
    <row r="33" spans="1:13" x14ac:dyDescent="0.25">
      <c r="A33" s="20" t="s">
        <v>17</v>
      </c>
      <c r="B33" s="8"/>
      <c r="C33" s="8"/>
      <c r="D33" s="8"/>
      <c r="E33" s="8"/>
      <c r="F33" s="1">
        <f>VLOOKUP(C8,'3rd Term'!B9:AN48,30,FALSE)</f>
        <v>30</v>
      </c>
      <c r="G33" s="31">
        <f>VLOOKUP(C8,'3rd Term'!B9:AN48,31,FALSE)</f>
        <v>11</v>
      </c>
      <c r="H33" s="31">
        <f t="shared" si="1"/>
        <v>41</v>
      </c>
      <c r="I33" s="31">
        <f>(VLOOKUP(C8,'2nd Term'!B9:AN48,30,FALSE))+(VLOOKUP(C8,'2nd Term'!B9:AN48,31,FALSE))</f>
        <v>40</v>
      </c>
      <c r="J33" s="31">
        <f>(VLOOKUP($C$8,'1st Term'!$B$9:$AN$48,30,FALSE))+(VLOOKUP($C$8,'1st Term'!$B$9:$AN$48,31,FALSE))</f>
        <v>20</v>
      </c>
      <c r="K33" s="31">
        <f t="shared" si="2"/>
        <v>101</v>
      </c>
      <c r="L33" s="26">
        <f t="shared" si="0"/>
        <v>33.666666666666664</v>
      </c>
      <c r="M33" s="31" t="str">
        <f t="shared" si="3"/>
        <v>F</v>
      </c>
    </row>
    <row r="34" spans="1:13" x14ac:dyDescent="0.25">
      <c r="A34" s="20" t="s">
        <v>18</v>
      </c>
      <c r="B34" s="8"/>
      <c r="C34" s="8"/>
      <c r="D34" s="8"/>
      <c r="E34" s="8"/>
      <c r="F34" s="1">
        <f>VLOOKUP(C8,'3rd Term'!B9:AN48,32,FALSE)</f>
        <v>21</v>
      </c>
      <c r="G34" s="31">
        <f>VLOOKUP(C8,'3rd Term'!B9:AN48,33,FALSE)</f>
        <v>40</v>
      </c>
      <c r="H34" s="31">
        <f t="shared" si="1"/>
        <v>61</v>
      </c>
      <c r="I34" s="31">
        <f>(VLOOKUP(C8,'2nd Term'!B9:AN48,32,FALSE))+(VLOOKUP(C8,'2nd Term'!B9:AN48,33,FALSE))</f>
        <v>50</v>
      </c>
      <c r="J34" s="31">
        <f>(VLOOKUP($C$8,'1st Term'!$B$9:$AN$48,32,FALSE))+(VLOOKUP($C$8,'1st Term'!$B$9:$AN$48,33,FALSE))</f>
        <v>31</v>
      </c>
      <c r="K34" s="31">
        <f t="shared" si="2"/>
        <v>142</v>
      </c>
      <c r="L34" s="26">
        <f t="shared" si="0"/>
        <v>47.333333333333336</v>
      </c>
      <c r="M34" s="31" t="str">
        <f t="shared" si="3"/>
        <v>P</v>
      </c>
    </row>
    <row r="35" spans="1:13" x14ac:dyDescent="0.25">
      <c r="A35" s="20" t="s">
        <v>19</v>
      </c>
      <c r="B35" s="8"/>
      <c r="C35" s="8"/>
      <c r="D35" s="8"/>
      <c r="E35" s="8"/>
      <c r="F35" s="1">
        <f>VLOOKUP(C8,'3rd Term'!B9:AN48,34,FALSE)</f>
        <v>17</v>
      </c>
      <c r="G35" s="31">
        <f>VLOOKUP(C8,'3rd Term'!B9:AN48,35,FALSE)</f>
        <v>26</v>
      </c>
      <c r="H35" s="31">
        <f t="shared" si="1"/>
        <v>43</v>
      </c>
      <c r="I35" s="31">
        <f>(VLOOKUP(C8,'2nd Term'!B9:AN48,34,FALSE))+(VLOOKUP(C8,'2nd Term'!B9:AN48,35,FALSE))</f>
        <v>78</v>
      </c>
      <c r="J35" s="31">
        <f>(VLOOKUP($C$8,'1st Term'!$B$9:$AN$48,34,FALSE))+(VLOOKUP($C$8,'1st Term'!$B$9:$AN$48,35,FALSE))</f>
        <v>17</v>
      </c>
      <c r="K35" s="31">
        <f t="shared" si="2"/>
        <v>138</v>
      </c>
      <c r="L35" s="26">
        <f t="shared" si="0"/>
        <v>46</v>
      </c>
      <c r="M35" s="31" t="str">
        <f t="shared" si="3"/>
        <v>P</v>
      </c>
    </row>
    <row r="36" spans="1:13" x14ac:dyDescent="0.25">
      <c r="A36" s="20" t="s">
        <v>20</v>
      </c>
      <c r="B36" s="8"/>
      <c r="C36" s="8"/>
      <c r="D36" s="8"/>
      <c r="E36" s="8"/>
      <c r="F36" s="1">
        <f>VLOOKUP(C8,'3rd Term'!B9:AN48,36,FALSE)</f>
        <v>24</v>
      </c>
      <c r="G36" s="31">
        <f>VLOOKUP(C8,'3rd Term'!B9:AN48,37,FALSE)</f>
        <v>43</v>
      </c>
      <c r="H36" s="31">
        <f t="shared" si="1"/>
        <v>67</v>
      </c>
      <c r="I36" s="31">
        <f>(VLOOKUP(C8,'2nd Term'!B9:AN48,36,FALSE))+(VLOOKUP(C8,'2nd Term'!B9:AN48,37,FALSE))</f>
        <v>40</v>
      </c>
      <c r="J36" s="31">
        <f>(VLOOKUP($C$8,'1st Term'!$B$9:$AN$48,36,FALSE))+(VLOOKUP($C$8,'1st Term'!$B$9:$AN$48,37,FALSE))</f>
        <v>17</v>
      </c>
      <c r="K36" s="31">
        <f t="shared" si="2"/>
        <v>124</v>
      </c>
      <c r="L36" s="26">
        <f t="shared" si="0"/>
        <v>41.333333333333336</v>
      </c>
      <c r="M36" s="31" t="str">
        <f t="shared" si="3"/>
        <v>P</v>
      </c>
    </row>
    <row r="37" spans="1:13" x14ac:dyDescent="0.25">
      <c r="A37" s="18" t="s">
        <v>21</v>
      </c>
      <c r="B37" s="7"/>
      <c r="C37" s="7"/>
      <c r="D37" s="7"/>
      <c r="E37" s="7"/>
      <c r="F37" s="57">
        <f>VLOOKUP(C8,'3rd Term'!B9:AN48,38,FALSE)</f>
        <v>3</v>
      </c>
      <c r="G37" s="31">
        <f>VLOOKUP(C8,'3rd Term'!B9:AN48,39,FALSE)</f>
        <v>8</v>
      </c>
      <c r="H37" s="31">
        <f t="shared" si="1"/>
        <v>11</v>
      </c>
      <c r="I37" s="31">
        <f>(VLOOKUP(C8,'2nd Term'!B9:AN48,38,FALSE))+(VLOOKUP(C8,'2nd Term'!B9:AN48,39,FALSE))</f>
        <v>31</v>
      </c>
      <c r="J37" s="31">
        <f>(VLOOKUP($C$8,'1st Term'!$B$9:$AN$48,38,FALSE))+(VLOOKUP($C$8,'1st Term'!$B$9:$AN$48,39,FALSE))</f>
        <v>10</v>
      </c>
      <c r="K37" s="31">
        <f t="shared" si="2"/>
        <v>52</v>
      </c>
      <c r="L37" s="26">
        <f t="shared" si="0"/>
        <v>17.333333333333332</v>
      </c>
      <c r="M37" s="31" t="str">
        <f t="shared" si="3"/>
        <v>F</v>
      </c>
    </row>
    <row r="43" spans="1:13" x14ac:dyDescent="0.25">
      <c r="G43" s="110" t="s">
        <v>62</v>
      </c>
      <c r="H43" s="110"/>
      <c r="I43" s="110"/>
      <c r="J43" s="110"/>
      <c r="K43" s="110"/>
      <c r="L43" s="110"/>
      <c r="M43" s="110"/>
    </row>
    <row r="44" spans="1:13" x14ac:dyDescent="0.25">
      <c r="A44" s="77" t="s">
        <v>58</v>
      </c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</row>
    <row r="45" spans="1:13" ht="12.75" customHeight="1" x14ac:dyDescent="0.25">
      <c r="A45" s="50" t="str">
        <f>VLOOKUP(C8,comments!B8:X47,7,0)</f>
        <v>She is improving gradually but needs to participate more in class discussions.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</row>
    <row r="46" spans="1:13" x14ac:dyDescent="0.25">
      <c r="A46" s="50"/>
      <c r="B46" s="50"/>
      <c r="C46" s="50"/>
      <c r="D46" s="50"/>
      <c r="E46" s="50"/>
      <c r="F46" s="78"/>
      <c r="G46" s="78"/>
      <c r="H46" s="78"/>
      <c r="I46" s="78"/>
      <c r="J46" s="78"/>
      <c r="K46" s="78"/>
      <c r="L46" s="78"/>
      <c r="M46" s="78"/>
    </row>
    <row r="47" spans="1:13" x14ac:dyDescent="0.25">
      <c r="A47" s="79" t="s">
        <v>60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</row>
    <row r="48" spans="1:13" ht="12" customHeight="1" x14ac:dyDescent="0.25">
      <c r="A48" s="50" t="str">
        <f>VLOOKUP(C8,comments!B8:X47,14,0)</f>
        <v>Just fair. You can improve if only you will be more regular at school next term. Promoted to the Next Class.</v>
      </c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</row>
    <row r="49" spans="1:13" x14ac:dyDescent="0.25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</row>
    <row r="50" spans="1:13" x14ac:dyDescent="0.25">
      <c r="A50" s="79" t="s">
        <v>59</v>
      </c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</row>
    <row r="51" spans="1:13" ht="12" customHeight="1" x14ac:dyDescent="0.25">
      <c r="A51" s="78" t="s">
        <v>61</v>
      </c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</row>
  </sheetData>
  <sheetProtection algorithmName="SHA-512" hashValue="+mMne5eL0YLJo2obwgCn+RMvfCZyvEE028A3LtQC0qhsH8t9h0uJIsBV6FV+5QDte0Th3gYSkHAjGIXbUMDo0g==" saltValue="1X6mEqTQSrUkAvcdJoddHQ==" spinCount="100000" sheet="1" scenarios="1"/>
  <mergeCells count="13">
    <mergeCell ref="I14:I17"/>
    <mergeCell ref="A18:B18"/>
    <mergeCell ref="G43:M43"/>
    <mergeCell ref="B1:M2"/>
    <mergeCell ref="B3:M3"/>
    <mergeCell ref="B4:M4"/>
    <mergeCell ref="B5:M6"/>
    <mergeCell ref="K7:M12"/>
    <mergeCell ref="A8:B8"/>
    <mergeCell ref="A9:B9"/>
    <mergeCell ref="A10:B10"/>
    <mergeCell ref="A11:B11"/>
    <mergeCell ref="A12:B12"/>
  </mergeCells>
  <conditionalFormatting sqref="M19:M37">
    <cfRule type="cellIs" dxfId="64" priority="3" operator="equal">
      <formula>"F"</formula>
    </cfRule>
    <cfRule type="cellIs" dxfId="63" priority="4" operator="equal">
      <formula>"P"</formula>
    </cfRule>
    <cfRule type="cellIs" dxfId="62" priority="5" operator="equal">
      <formula>"C"</formula>
    </cfRule>
    <cfRule type="cellIs" dxfId="61" priority="6" operator="equal">
      <formula>"A"</formula>
    </cfRule>
  </conditionalFormatting>
  <conditionalFormatting sqref="F19:J37">
    <cfRule type="cellIs" dxfId="60" priority="1" operator="equal">
      <formula>0</formula>
    </cfRule>
    <cfRule type="colorScale" priority="2">
      <colorScale>
        <cfvo type="min"/>
        <cfvo type="num" val="0"/>
        <color rgb="FFFF7128"/>
        <color theme="0"/>
      </colorScale>
    </cfRule>
  </conditionalFormatting>
  <dataValidations count="1">
    <dataValidation type="list" allowBlank="1" showInputMessage="1" showErrorMessage="1" sqref="M14:M17" xr:uid="{D0A74DA6-42F7-429A-ABAE-D1530D5FA9BF}">
      <formula1>"A,B,C,D,E"</formula1>
    </dataValidation>
  </dataValidations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2529B-BBEB-4C34-AE73-B59590604128}">
  <sheetPr>
    <tabColor rgb="FF7030A0"/>
  </sheetPr>
  <dimension ref="A1:M51"/>
  <sheetViews>
    <sheetView workbookViewId="0">
      <selection activeCell="C7" sqref="C7"/>
    </sheetView>
  </sheetViews>
  <sheetFormatPr defaultRowHeight="15" x14ac:dyDescent="0.25"/>
  <cols>
    <col min="3" max="3" width="8.140625" customWidth="1"/>
    <col min="4" max="4" width="9.42578125" customWidth="1"/>
    <col min="5" max="5" width="10.5703125" customWidth="1"/>
    <col min="6" max="6" width="6.28515625" customWidth="1"/>
    <col min="7" max="8" width="5.85546875" customWidth="1"/>
    <col min="9" max="9" width="5.5703125" customWidth="1"/>
    <col min="10" max="11" width="5.28515625" customWidth="1"/>
    <col min="12" max="12" width="6.28515625" customWidth="1"/>
    <col min="13" max="13" width="5.7109375" customWidth="1"/>
  </cols>
  <sheetData>
    <row r="1" spans="1:13" ht="15" customHeight="1" x14ac:dyDescent="0.25">
      <c r="A1" s="10"/>
      <c r="B1" s="116" t="s">
        <v>185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</row>
    <row r="2" spans="1:13" ht="15" customHeight="1" x14ac:dyDescent="0.25">
      <c r="A2" s="10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</row>
    <row r="3" spans="1:13" ht="15.75" x14ac:dyDescent="0.25">
      <c r="A3" s="10"/>
      <c r="B3" s="117" t="s">
        <v>184</v>
      </c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</row>
    <row r="4" spans="1:13" ht="15.75" x14ac:dyDescent="0.25">
      <c r="A4" s="10"/>
      <c r="B4" s="118" t="s">
        <v>186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</row>
    <row r="5" spans="1:13" ht="15" customHeight="1" x14ac:dyDescent="0.25">
      <c r="A5" s="10"/>
      <c r="B5" s="119" t="s">
        <v>36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</row>
    <row r="6" spans="1:13" ht="15" customHeight="1" x14ac:dyDescent="0.25">
      <c r="A6" s="10"/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</row>
    <row r="7" spans="1:13" ht="15" customHeight="1" x14ac:dyDescent="0.25">
      <c r="I7" s="10"/>
      <c r="J7" s="10"/>
      <c r="K7" s="122" t="s">
        <v>105</v>
      </c>
      <c r="L7" s="122"/>
      <c r="M7" s="122"/>
    </row>
    <row r="8" spans="1:13" x14ac:dyDescent="0.25">
      <c r="A8" s="120" t="s">
        <v>37</v>
      </c>
      <c r="B8" s="120"/>
      <c r="C8" s="29" t="str">
        <f>('1st Term'!B19)</f>
        <v>HAMZAT AKOREDE</v>
      </c>
      <c r="D8" s="8"/>
      <c r="E8" s="8"/>
      <c r="F8" s="8"/>
      <c r="G8" s="8"/>
      <c r="H8" s="9"/>
      <c r="I8" s="10"/>
      <c r="J8" s="10"/>
      <c r="K8" s="122"/>
      <c r="L8" s="122"/>
      <c r="M8" s="122"/>
    </row>
    <row r="9" spans="1:13" x14ac:dyDescent="0.25">
      <c r="A9" s="121" t="s">
        <v>38</v>
      </c>
      <c r="B9" s="115"/>
      <c r="C9" s="29" t="str">
        <f>('1st Term'!B7)</f>
        <v>JSS 1A</v>
      </c>
      <c r="D9" s="8"/>
      <c r="E9" s="8"/>
      <c r="F9" s="8"/>
      <c r="G9" s="8"/>
      <c r="H9" s="9"/>
      <c r="I9" s="10"/>
      <c r="J9" s="10"/>
      <c r="K9" s="122"/>
      <c r="L9" s="122"/>
      <c r="M9" s="122"/>
    </row>
    <row r="10" spans="1:13" x14ac:dyDescent="0.25">
      <c r="A10" s="121" t="s">
        <v>39</v>
      </c>
      <c r="B10" s="115"/>
      <c r="C10" s="29" t="str">
        <f>(comments!C4)</f>
        <v>2025/2026</v>
      </c>
      <c r="D10" s="8"/>
      <c r="E10" s="8"/>
      <c r="F10" s="43"/>
      <c r="G10" s="43"/>
      <c r="H10" s="9"/>
      <c r="I10" s="10"/>
      <c r="J10" s="10"/>
      <c r="K10" s="122"/>
      <c r="L10" s="122"/>
      <c r="M10" s="122"/>
    </row>
    <row r="11" spans="1:13" x14ac:dyDescent="0.25">
      <c r="A11" s="121" t="s">
        <v>40</v>
      </c>
      <c r="B11" s="115"/>
      <c r="C11" s="30" t="str">
        <f>(comments!B5)</f>
        <v>THIRD TERM</v>
      </c>
      <c r="D11" s="7"/>
      <c r="E11" s="7"/>
      <c r="F11" s="13" t="s">
        <v>167</v>
      </c>
      <c r="G11" s="8"/>
      <c r="H11" s="53">
        <f>INDEX(comments!D8:D47,MATCH(sheet11!C8,comments!B8:B47,0))</f>
        <v>46.86274509803922</v>
      </c>
      <c r="I11" s="10"/>
      <c r="J11" s="10"/>
      <c r="K11" s="122"/>
      <c r="L11" s="122"/>
      <c r="M11" s="122"/>
    </row>
    <row r="12" spans="1:13" x14ac:dyDescent="0.25">
      <c r="A12" s="114" t="s">
        <v>41</v>
      </c>
      <c r="B12" s="115"/>
      <c r="C12" s="30" t="str">
        <f>(comments!E6)</f>
        <v>20TH APRIL 2026</v>
      </c>
      <c r="D12" s="7"/>
      <c r="E12" s="7"/>
      <c r="F12" s="13" t="s">
        <v>44</v>
      </c>
      <c r="G12" s="8"/>
      <c r="H12" s="51" t="str">
        <f>INDEX(comments!E8:E47,MATCH(sheet11!C8,comments!B8:B47,0))</f>
        <v>19th</v>
      </c>
      <c r="I12" s="10"/>
      <c r="J12" s="10"/>
      <c r="K12" s="123"/>
      <c r="L12" s="123"/>
      <c r="M12" s="123"/>
    </row>
    <row r="13" spans="1:13" x14ac:dyDescent="0.25">
      <c r="A13" s="48"/>
      <c r="B13" s="49"/>
      <c r="C13" s="50"/>
      <c r="F13" s="25"/>
      <c r="H13" s="52"/>
      <c r="I13" s="10"/>
      <c r="J13" s="10"/>
      <c r="K13" s="54"/>
      <c r="L13" s="54"/>
      <c r="M13" s="54"/>
    </row>
    <row r="14" spans="1:13" ht="16.5" customHeight="1" x14ac:dyDescent="0.25">
      <c r="A14" s="16" t="s">
        <v>48</v>
      </c>
      <c r="B14" s="8"/>
      <c r="C14" s="8"/>
      <c r="D14" s="13" t="s">
        <v>49</v>
      </c>
      <c r="E14" s="8"/>
      <c r="F14" s="8"/>
      <c r="G14" s="8"/>
      <c r="H14" s="15"/>
      <c r="I14" s="113" t="s">
        <v>50</v>
      </c>
      <c r="J14" s="45" t="s">
        <v>32</v>
      </c>
      <c r="K14" s="44"/>
      <c r="L14" s="17"/>
      <c r="M14" s="44" t="s">
        <v>52</v>
      </c>
    </row>
    <row r="15" spans="1:13" ht="21" customHeight="1" x14ac:dyDescent="0.25">
      <c r="A15" s="11" t="s">
        <v>46</v>
      </c>
      <c r="B15" s="7"/>
      <c r="C15" s="7"/>
      <c r="D15" s="55">
        <f>(comments!C6)</f>
        <v>110</v>
      </c>
      <c r="E15" s="8"/>
      <c r="F15" s="8"/>
      <c r="G15" s="8"/>
      <c r="H15" s="14"/>
      <c r="I15" s="113"/>
      <c r="J15" s="45" t="s">
        <v>33</v>
      </c>
      <c r="K15" s="44"/>
      <c r="L15" s="17"/>
      <c r="M15" s="44" t="s">
        <v>51</v>
      </c>
    </row>
    <row r="16" spans="1:13" ht="18.75" customHeight="1" x14ac:dyDescent="0.25">
      <c r="A16" s="12" t="s">
        <v>47</v>
      </c>
      <c r="B16" s="8"/>
      <c r="C16" s="8"/>
      <c r="D16" s="56">
        <f>VLOOKUP(C8,comments!B8:C47,2,FALSE)</f>
        <v>0</v>
      </c>
      <c r="E16" s="8"/>
      <c r="F16" s="8"/>
      <c r="G16" s="8"/>
      <c r="H16" s="14"/>
      <c r="I16" s="113"/>
      <c r="J16" s="45" t="s">
        <v>34</v>
      </c>
      <c r="K16" s="44"/>
      <c r="L16" s="17"/>
      <c r="M16" s="44" t="s">
        <v>51</v>
      </c>
    </row>
    <row r="17" spans="1:13" ht="17.25" customHeight="1" x14ac:dyDescent="0.25">
      <c r="A17" s="11" t="s">
        <v>45</v>
      </c>
      <c r="B17" s="7"/>
      <c r="C17" s="7"/>
      <c r="D17" s="56">
        <f>(comments!D6)</f>
        <v>22</v>
      </c>
      <c r="E17" s="8"/>
      <c r="F17" s="8"/>
      <c r="G17" s="8"/>
      <c r="H17" s="14"/>
      <c r="I17" s="113"/>
      <c r="J17" s="47" t="s">
        <v>35</v>
      </c>
      <c r="K17" s="46"/>
      <c r="L17" s="40"/>
      <c r="M17" s="44" t="s">
        <v>52</v>
      </c>
    </row>
    <row r="18" spans="1:13" ht="61.5" customHeight="1" x14ac:dyDescent="0.25">
      <c r="A18" s="111" t="s">
        <v>53</v>
      </c>
      <c r="B18" s="112"/>
      <c r="C18" s="19"/>
      <c r="D18" s="19"/>
      <c r="E18" s="19"/>
      <c r="F18" s="41" t="s">
        <v>172</v>
      </c>
      <c r="G18" s="41" t="s">
        <v>171</v>
      </c>
      <c r="H18" s="41" t="s">
        <v>173</v>
      </c>
      <c r="I18" s="42" t="s">
        <v>174</v>
      </c>
      <c r="J18" s="42" t="s">
        <v>175</v>
      </c>
      <c r="K18" s="41" t="s">
        <v>165</v>
      </c>
      <c r="L18" s="41" t="s">
        <v>166</v>
      </c>
      <c r="M18" s="41" t="s">
        <v>54</v>
      </c>
    </row>
    <row r="19" spans="1:13" ht="15" customHeight="1" x14ac:dyDescent="0.25">
      <c r="A19" s="20" t="s">
        <v>6</v>
      </c>
      <c r="B19" s="8"/>
      <c r="C19" s="8"/>
      <c r="D19" s="8"/>
      <c r="E19" s="8"/>
      <c r="F19" s="31">
        <f>VLOOKUP(C8,'3rd Term'!B9:AN48,2,FALSE)</f>
        <v>24</v>
      </c>
      <c r="G19" s="31">
        <f>VLOOKUP(C8,'3rd Term'!B9:AN48,3,FALSE)</f>
        <v>53</v>
      </c>
      <c r="H19" s="31">
        <f>SUM(F19:G19)</f>
        <v>77</v>
      </c>
      <c r="I19" s="5">
        <f>(VLOOKUP(C8,'2nd Term'!B9:AN48,2,FALSE))+(VLOOKUP(C8,'2nd Term'!B9:AN48,3,FALSE))</f>
        <v>55</v>
      </c>
      <c r="J19" s="31">
        <f>(VLOOKUP($C$8,'1st Term'!$B$9:$AN$48,2,FALSE))+(VLOOKUP($C$8,'1st Term'!$B$9:$AN$48,3,FALSE))</f>
        <v>55</v>
      </c>
      <c r="K19" s="31">
        <f>IF(SUM(H19:J19)=0,"-",SUM(H19:J19))</f>
        <v>187</v>
      </c>
      <c r="L19" s="26">
        <f t="shared" ref="L19:L37" si="0">IFERROR(((H19)+(I19)+(J19))/((--(H19&gt;0))+(--(I19&gt;0))+(--(J19&gt;0))),"-")</f>
        <v>62.333333333333336</v>
      </c>
      <c r="M19" s="31" t="str">
        <f>IF(L19="-","-",IF(L19&gt;=70,"A",IF(L19&gt;=50,"C",IF(L19&gt;=40,"P","F"))))</f>
        <v>C</v>
      </c>
    </row>
    <row r="20" spans="1:13" ht="15" customHeight="1" x14ac:dyDescent="0.25">
      <c r="A20" s="20" t="s">
        <v>3</v>
      </c>
      <c r="B20" s="8"/>
      <c r="C20" s="8"/>
      <c r="D20" s="8"/>
      <c r="E20" s="8"/>
      <c r="F20" s="1">
        <f>VLOOKUP(C8,'3rd Term'!B9:AN48,4,FALSE)</f>
        <v>25</v>
      </c>
      <c r="G20" s="31">
        <f>VLOOKUP(C8,'3rd Term'!B9:AN48,5,FALSE)</f>
        <v>38</v>
      </c>
      <c r="H20" s="31">
        <f t="shared" ref="H20:H37" si="1">SUM(F20:G20)</f>
        <v>63</v>
      </c>
      <c r="I20" s="31">
        <f>(VLOOKUP(C8,'2nd Term'!B9:AN48,4,FALSE))+(VLOOKUP(C8,'2nd Term'!B9:AN48,5,FALSE))</f>
        <v>59</v>
      </c>
      <c r="J20" s="31">
        <f>(VLOOKUP($C$8,'1st Term'!$B$9:$AN$48,4,FALSE))+(VLOOKUP($C$8,'1st Term'!$B$9:$AN$48,5,FALSE))</f>
        <v>20</v>
      </c>
      <c r="K20" s="31">
        <f t="shared" ref="K20:K37" si="2">IF(SUM(H20:J20)=0,"-",SUM(H20:J20))</f>
        <v>142</v>
      </c>
      <c r="L20" s="26">
        <f t="shared" si="0"/>
        <v>47.333333333333336</v>
      </c>
      <c r="M20" s="31" t="str">
        <f t="shared" ref="M20:M37" si="3">IF(L20="-","-",IF(L20&gt;=70,"A",IF(L20&gt;=50,"C",IF(L20&gt;=40,"P","F"))))</f>
        <v>P</v>
      </c>
    </row>
    <row r="21" spans="1:13" ht="15" customHeight="1" x14ac:dyDescent="0.25">
      <c r="A21" s="20" t="s">
        <v>4</v>
      </c>
      <c r="B21" s="8"/>
      <c r="C21" s="8"/>
      <c r="D21" s="8"/>
      <c r="E21" s="8"/>
      <c r="F21" s="1">
        <f>VLOOKUP(C8,'3rd Term'!B9:AN48,6,FALSE)</f>
        <v>25</v>
      </c>
      <c r="G21" s="31">
        <f>VLOOKUP(C8,'3rd Term'!B9:AN48,7,FALSE)</f>
        <v>30</v>
      </c>
      <c r="H21" s="31">
        <f t="shared" si="1"/>
        <v>55</v>
      </c>
      <c r="I21" s="31">
        <f>(VLOOKUP(C8,'2nd Term'!B9:AN48,6,FALSE))+(VLOOKUP(C8,'2nd Term'!B9:AN48,7,FALSE))</f>
        <v>49</v>
      </c>
      <c r="J21" s="31">
        <f>(VLOOKUP($C$8,'1st Term'!$B$9:$AN$48,6,FALSE))+(VLOOKUP($C$8,'1st Term'!$B$9:$AN$48,7,FALSE))</f>
        <v>43</v>
      </c>
      <c r="K21" s="31">
        <f t="shared" si="2"/>
        <v>147</v>
      </c>
      <c r="L21" s="26">
        <f t="shared" si="0"/>
        <v>49</v>
      </c>
      <c r="M21" s="31" t="str">
        <f t="shared" si="3"/>
        <v>P</v>
      </c>
    </row>
    <row r="22" spans="1:13" ht="15" customHeight="1" x14ac:dyDescent="0.25">
      <c r="A22" s="20" t="s">
        <v>5</v>
      </c>
      <c r="B22" s="8"/>
      <c r="C22" s="8"/>
      <c r="D22" s="8"/>
      <c r="E22" s="8"/>
      <c r="F22" s="1">
        <f>VLOOKUP(C8,'3rd Term'!B9:AN48,8,FALSE)</f>
        <v>23</v>
      </c>
      <c r="G22" s="31">
        <f>VLOOKUP(C8,'3rd Term'!B9:AN48,9,FALSE)</f>
        <v>43</v>
      </c>
      <c r="H22" s="31">
        <f t="shared" si="1"/>
        <v>66</v>
      </c>
      <c r="I22" s="31">
        <f>(VLOOKUP(C8,'2nd Term'!B9:AN48,8,FALSE))+(VLOOKUP(C8,'2nd Term'!B9:AN48,9,FALSE))</f>
        <v>37</v>
      </c>
      <c r="J22" s="31">
        <f>(VLOOKUP($C$8,'1st Term'!$B$9:$AN$48,8,FALSE))+(VLOOKUP($C$8,'1st Term'!$B$9:$AN$48,9,FALSE))</f>
        <v>29</v>
      </c>
      <c r="K22" s="31">
        <f t="shared" si="2"/>
        <v>132</v>
      </c>
      <c r="L22" s="26">
        <f t="shared" si="0"/>
        <v>44</v>
      </c>
      <c r="M22" s="31" t="str">
        <f t="shared" si="3"/>
        <v>P</v>
      </c>
    </row>
    <row r="23" spans="1:13" ht="15" customHeight="1" x14ac:dyDescent="0.25">
      <c r="A23" s="20" t="s">
        <v>7</v>
      </c>
      <c r="B23" s="8"/>
      <c r="C23" s="8"/>
      <c r="D23" s="8"/>
      <c r="E23" s="8"/>
      <c r="F23" s="1">
        <f>VLOOKUP(C8,'3rd Term'!B9:AN48,10,FALSE)</f>
        <v>20</v>
      </c>
      <c r="G23" s="31">
        <f>VLOOKUP(C8,'3rd Term'!B9:AN48,11,FALSE)</f>
        <v>36</v>
      </c>
      <c r="H23" s="31">
        <f t="shared" si="1"/>
        <v>56</v>
      </c>
      <c r="I23" s="31">
        <f>(VLOOKUP(C8,'2nd Term'!B9:AN48,10,FALSE))+(VLOOKUP(C8,'2nd Term'!B9:AN48,11,FALSE))</f>
        <v>50</v>
      </c>
      <c r="J23" s="31">
        <f>(VLOOKUP($C$8,'1st Term'!$B$9:$AN$48,10,FALSE))+(VLOOKUP($C$8,'1st Term'!$B$9:$AN$48,11,FALSE))</f>
        <v>40</v>
      </c>
      <c r="K23" s="31">
        <f t="shared" si="2"/>
        <v>146</v>
      </c>
      <c r="L23" s="26">
        <f t="shared" si="0"/>
        <v>48.666666666666664</v>
      </c>
      <c r="M23" s="31" t="str">
        <f t="shared" si="3"/>
        <v>P</v>
      </c>
    </row>
    <row r="24" spans="1:13" ht="15" customHeight="1" x14ac:dyDescent="0.25">
      <c r="A24" s="20" t="s">
        <v>8</v>
      </c>
      <c r="B24" s="8"/>
      <c r="C24" s="8"/>
      <c r="D24" s="8"/>
      <c r="E24" s="8"/>
      <c r="F24" s="1">
        <f>VLOOKUP(C8,'3rd Term'!B9:AN48,12,FALSE)</f>
        <v>21</v>
      </c>
      <c r="G24" s="31">
        <f>VLOOKUP(C8,'3rd Term'!B9:AN48,13,FALSE)</f>
        <v>37</v>
      </c>
      <c r="H24" s="31">
        <f t="shared" si="1"/>
        <v>58</v>
      </c>
      <c r="I24" s="31">
        <f>(VLOOKUP(C8,'2nd Term'!B9:AN48,12,FALSE))+(VLOOKUP(C8,'2nd Term'!B9:AN48,13,FALSE))</f>
        <v>29</v>
      </c>
      <c r="J24" s="31">
        <f>(VLOOKUP($C$8,'1st Term'!$B$9:$AN$48,12,FALSE))+(VLOOKUP($C$8,'1st Term'!$B$9:$AN$48,13,FALSE))</f>
        <v>28</v>
      </c>
      <c r="K24" s="31">
        <f t="shared" si="2"/>
        <v>115</v>
      </c>
      <c r="L24" s="26">
        <f t="shared" si="0"/>
        <v>38.333333333333336</v>
      </c>
      <c r="M24" s="31" t="str">
        <f t="shared" si="3"/>
        <v>F</v>
      </c>
    </row>
    <row r="25" spans="1:13" ht="15" customHeight="1" x14ac:dyDescent="0.25">
      <c r="A25" s="20" t="s">
        <v>9</v>
      </c>
      <c r="B25" s="8"/>
      <c r="C25" s="8"/>
      <c r="D25" s="8"/>
      <c r="E25" s="8"/>
      <c r="F25" s="1">
        <f>VLOOKUP(C8,'3rd Term'!B9:AN48,14,FALSE)</f>
        <v>27</v>
      </c>
      <c r="G25" s="31">
        <f>VLOOKUP(C8,'3rd Term'!B9:AN48,15,FALSE)</f>
        <v>40</v>
      </c>
      <c r="H25" s="31">
        <f t="shared" si="1"/>
        <v>67</v>
      </c>
      <c r="I25" s="31">
        <f>(VLOOKUP(C8,'2nd Term'!B9:AN48,14,FALSE))+(VLOOKUP(C8,'2nd Term'!B9:AN48,15,FALSE))</f>
        <v>42</v>
      </c>
      <c r="J25" s="31">
        <f>(VLOOKUP($C$8,'1st Term'!$B$9:$AN$48,14,FALSE))+(VLOOKUP($C$8,'1st Term'!$B$9:$AN$48,15,FALSE))</f>
        <v>29</v>
      </c>
      <c r="K25" s="31">
        <f t="shared" si="2"/>
        <v>138</v>
      </c>
      <c r="L25" s="26">
        <f t="shared" si="0"/>
        <v>46</v>
      </c>
      <c r="M25" s="31" t="str">
        <f t="shared" si="3"/>
        <v>P</v>
      </c>
    </row>
    <row r="26" spans="1:13" ht="15" customHeight="1" x14ac:dyDescent="0.25">
      <c r="A26" s="20" t="s">
        <v>10</v>
      </c>
      <c r="B26" s="8"/>
      <c r="C26" s="8"/>
      <c r="D26" s="8"/>
      <c r="E26" s="8"/>
      <c r="F26" s="1">
        <f>VLOOKUP(C8,'3rd Term'!B9:AN48,16,FALSE)</f>
        <v>23</v>
      </c>
      <c r="G26" s="31">
        <f>VLOOKUP(C8,'3rd Term'!B9:AN48,17,FALSE)</f>
        <v>59</v>
      </c>
      <c r="H26" s="31">
        <f t="shared" si="1"/>
        <v>82</v>
      </c>
      <c r="I26" s="31">
        <f>(VLOOKUP(C8,'2nd Term'!B9:AN48,16,FALSE))+(VLOOKUP(C8,'2nd Term'!B9:AN48,17,FALSE))</f>
        <v>31</v>
      </c>
      <c r="J26" s="31">
        <f>(VLOOKUP($C$8,'1st Term'!$B$9:$AN$48,16,FALSE))+(VLOOKUP($C$8,'1st Term'!$B$9:$AN$48,17,FALSE))</f>
        <v>33</v>
      </c>
      <c r="K26" s="31">
        <f t="shared" si="2"/>
        <v>146</v>
      </c>
      <c r="L26" s="26">
        <f t="shared" si="0"/>
        <v>48.666666666666664</v>
      </c>
      <c r="M26" s="31" t="str">
        <f t="shared" si="3"/>
        <v>P</v>
      </c>
    </row>
    <row r="27" spans="1:13" ht="15" hidden="1" customHeight="1" x14ac:dyDescent="0.25">
      <c r="A27" s="20" t="s">
        <v>11</v>
      </c>
      <c r="B27" s="8"/>
      <c r="C27" s="8"/>
      <c r="D27" s="8"/>
      <c r="E27" s="8"/>
      <c r="F27" s="1">
        <f>VLOOKUP(C8,'3rd Term'!B9:AN48,18,FALSE)</f>
        <v>0</v>
      </c>
      <c r="G27" s="31">
        <f>VLOOKUP(C8,'3rd Term'!B9:AN48,19,FALSE)</f>
        <v>0</v>
      </c>
      <c r="H27" s="31">
        <f t="shared" si="1"/>
        <v>0</v>
      </c>
      <c r="I27" s="31">
        <f>(VLOOKUP(C8,'2nd Term'!B9:AN48,18,FALSE))+(VLOOKUP(C8,'2nd Term'!B9:AN48,19,FALSE))</f>
        <v>0</v>
      </c>
      <c r="J27" s="31">
        <f>(VLOOKUP($C$8,'1st Term'!$B$9:$AN$48,18,FALSE))+(VLOOKUP($C$8,'1st Term'!$B$9:$AN$48,19,FALSE))</f>
        <v>0</v>
      </c>
      <c r="K27" s="31" t="str">
        <f t="shared" si="2"/>
        <v>-</v>
      </c>
      <c r="L27" s="26" t="str">
        <f t="shared" si="0"/>
        <v>-</v>
      </c>
      <c r="M27" s="31" t="str">
        <f t="shared" si="3"/>
        <v>-</v>
      </c>
    </row>
    <row r="28" spans="1:13" ht="15" customHeight="1" x14ac:dyDescent="0.25">
      <c r="A28" s="20" t="s">
        <v>13</v>
      </c>
      <c r="B28" s="8"/>
      <c r="C28" s="8"/>
      <c r="D28" s="8"/>
      <c r="E28" s="8"/>
      <c r="F28" s="1">
        <f>VLOOKUP(C8,'3rd Term'!B9:AN48,20,FALSE)</f>
        <v>17</v>
      </c>
      <c r="G28" s="31">
        <f>VLOOKUP(C8,'3rd Term'!B9:AN48,21,FALSE)</f>
        <v>33</v>
      </c>
      <c r="H28" s="31">
        <f t="shared" si="1"/>
        <v>50</v>
      </c>
      <c r="I28" s="31">
        <f>(VLOOKUP(C8,'2nd Term'!B9:AN48,20,FALSE))+(VLOOKUP(C8,'2nd Term'!B9:AN48,21,FALSE))</f>
        <v>62</v>
      </c>
      <c r="J28" s="31">
        <f>(VLOOKUP($C$8,'1st Term'!$B$9:$AN$48,20,FALSE))+(VLOOKUP($C$8,'1st Term'!$B$9:$AN$48,21,FALSE))</f>
        <v>24</v>
      </c>
      <c r="K28" s="31">
        <f t="shared" si="2"/>
        <v>136</v>
      </c>
      <c r="L28" s="26">
        <f t="shared" si="0"/>
        <v>45.333333333333336</v>
      </c>
      <c r="M28" s="31" t="str">
        <f t="shared" si="3"/>
        <v>P</v>
      </c>
    </row>
    <row r="29" spans="1:13" x14ac:dyDescent="0.25">
      <c r="A29" s="20" t="s">
        <v>14</v>
      </c>
      <c r="B29" s="8"/>
      <c r="C29" s="8"/>
      <c r="D29" s="8"/>
      <c r="E29" s="8"/>
      <c r="F29" s="1">
        <f>VLOOKUP(C8,'3rd Term'!B9:AN48,22,FALSE)</f>
        <v>26</v>
      </c>
      <c r="G29" s="31">
        <f>VLOOKUP(C8,'3rd Term'!B9:AN48,23,FALSE)</f>
        <v>61</v>
      </c>
      <c r="H29" s="31">
        <f t="shared" si="1"/>
        <v>87</v>
      </c>
      <c r="I29" s="31">
        <f>(VLOOKUP(C8,'2nd Term'!B9:AN48,22,FALSE))+(VLOOKUP(C8,'2nd Term'!B9:AN48,23,FALSE))</f>
        <v>43</v>
      </c>
      <c r="J29" s="31">
        <f>(VLOOKUP($C$8,'1st Term'!$B$9:$AN$48,22,FALSE))+(VLOOKUP($C$8,'1st Term'!$B$9:$AN$48,23,FALSE))</f>
        <v>37</v>
      </c>
      <c r="K29" s="31">
        <f t="shared" si="2"/>
        <v>167</v>
      </c>
      <c r="L29" s="26">
        <f t="shared" si="0"/>
        <v>55.666666666666664</v>
      </c>
      <c r="M29" s="31" t="str">
        <f t="shared" si="3"/>
        <v>C</v>
      </c>
    </row>
    <row r="30" spans="1:13" x14ac:dyDescent="0.25">
      <c r="A30" s="20" t="s">
        <v>15</v>
      </c>
      <c r="B30" s="8"/>
      <c r="C30" s="8"/>
      <c r="D30" s="8"/>
      <c r="E30" s="8"/>
      <c r="F30" s="1">
        <f>VLOOKUP(C8,'3rd Term'!B9:AN48,24,FALSE)</f>
        <v>27</v>
      </c>
      <c r="G30" s="31">
        <f>VLOOKUP(C8,'3rd Term'!B9:AN48,25,FALSE)</f>
        <v>43</v>
      </c>
      <c r="H30" s="31">
        <f t="shared" si="1"/>
        <v>70</v>
      </c>
      <c r="I30" s="31">
        <f>(VLOOKUP(C8,'2nd Term'!B9:AN48,24,FALSE))+(VLOOKUP(C8,'2nd Term'!B9:AN48,25,FALSE))</f>
        <v>41</v>
      </c>
      <c r="J30" s="31">
        <f>(VLOOKUP($C$8,'1st Term'!$B$9:$AN$48,24,FALSE))+(VLOOKUP($C$8,'1st Term'!$B$9:$AN$48,25,FALSE))</f>
        <v>45</v>
      </c>
      <c r="K30" s="31">
        <f t="shared" si="2"/>
        <v>156</v>
      </c>
      <c r="L30" s="26">
        <f t="shared" si="0"/>
        <v>52</v>
      </c>
      <c r="M30" s="31" t="str">
        <f t="shared" si="3"/>
        <v>C</v>
      </c>
    </row>
    <row r="31" spans="1:13" hidden="1" x14ac:dyDescent="0.25">
      <c r="A31" s="20" t="s">
        <v>22</v>
      </c>
      <c r="B31" s="8"/>
      <c r="C31" s="8"/>
      <c r="D31" s="8"/>
      <c r="E31" s="8"/>
      <c r="F31" s="1">
        <f>VLOOKUP(C8,'3rd Term'!B9:AN48,26,FALSE)</f>
        <v>0</v>
      </c>
      <c r="G31" s="31">
        <f>VLOOKUP(C8,'3rd Term'!B9:AN48,27,FALSE)</f>
        <v>0</v>
      </c>
      <c r="H31" s="31">
        <f t="shared" si="1"/>
        <v>0</v>
      </c>
      <c r="I31" s="31">
        <f>(VLOOKUP(C8,'2nd Term'!B9:AN48,26,FALSE))+(VLOOKUP(C8,'2nd Term'!B9:AN48,27,FALSE))</f>
        <v>0</v>
      </c>
      <c r="J31" s="31">
        <f>(VLOOKUP($C$8,'1st Term'!$B$9:$AN$48,26,FALSE))+(VLOOKUP($C$8,'1st Term'!$B$9:$AN$48,27,FALSE))</f>
        <v>0</v>
      </c>
      <c r="K31" s="31" t="str">
        <f t="shared" si="2"/>
        <v>-</v>
      </c>
      <c r="L31" s="26" t="str">
        <f t="shared" si="0"/>
        <v>-</v>
      </c>
      <c r="M31" s="31" t="str">
        <f t="shared" si="3"/>
        <v>-</v>
      </c>
    </row>
    <row r="32" spans="1:13" x14ac:dyDescent="0.25">
      <c r="A32" s="20" t="s">
        <v>16</v>
      </c>
      <c r="B32" s="8"/>
      <c r="C32" s="8"/>
      <c r="D32" s="8"/>
      <c r="E32" s="8"/>
      <c r="F32" s="1">
        <f>VLOOKUP(C8,'3rd Term'!B9:AN48,28,FALSE)</f>
        <v>20</v>
      </c>
      <c r="G32" s="31">
        <f>VLOOKUP(C8,'3rd Term'!B9:AN48,29,FALSE)</f>
        <v>13</v>
      </c>
      <c r="H32" s="31">
        <f t="shared" si="1"/>
        <v>33</v>
      </c>
      <c r="I32" s="31">
        <f>(VLOOKUP(C8,'2nd Term'!B9:AN48,28,FALSE))+(VLOOKUP(C8,'2nd Term'!B9:AN48,29,FALSE))</f>
        <v>44</v>
      </c>
      <c r="J32" s="31">
        <f>(VLOOKUP($C$8,'1st Term'!$B$9:$AN$48,28,FALSE))+(VLOOKUP($C$8,'1st Term'!$B$9:$AN$48,29,FALSE))</f>
        <v>26</v>
      </c>
      <c r="K32" s="31">
        <f t="shared" si="2"/>
        <v>103</v>
      </c>
      <c r="L32" s="26">
        <f t="shared" si="0"/>
        <v>34.333333333333336</v>
      </c>
      <c r="M32" s="31" t="str">
        <f t="shared" si="3"/>
        <v>F</v>
      </c>
    </row>
    <row r="33" spans="1:13" x14ac:dyDescent="0.25">
      <c r="A33" s="20" t="s">
        <v>17</v>
      </c>
      <c r="B33" s="8"/>
      <c r="C33" s="8"/>
      <c r="D33" s="8"/>
      <c r="E33" s="8"/>
      <c r="F33" s="1">
        <f>VLOOKUP(C8,'3rd Term'!B9:AN48,30,FALSE)</f>
        <v>28</v>
      </c>
      <c r="G33" s="31">
        <f>VLOOKUP(C8,'3rd Term'!B9:AN48,31,FALSE)</f>
        <v>23</v>
      </c>
      <c r="H33" s="31">
        <f t="shared" si="1"/>
        <v>51</v>
      </c>
      <c r="I33" s="31">
        <f>(VLOOKUP(C8,'2nd Term'!B9:AN48,30,FALSE))+(VLOOKUP(C8,'2nd Term'!B9:AN48,31,FALSE))</f>
        <v>45</v>
      </c>
      <c r="J33" s="31">
        <f>(VLOOKUP($C$8,'1st Term'!$B$9:$AN$48,30,FALSE))+(VLOOKUP($C$8,'1st Term'!$B$9:$AN$48,31,FALSE))</f>
        <v>23</v>
      </c>
      <c r="K33" s="31">
        <f t="shared" si="2"/>
        <v>119</v>
      </c>
      <c r="L33" s="26">
        <f t="shared" si="0"/>
        <v>39.666666666666664</v>
      </c>
      <c r="M33" s="31" t="str">
        <f t="shared" si="3"/>
        <v>F</v>
      </c>
    </row>
    <row r="34" spans="1:13" x14ac:dyDescent="0.25">
      <c r="A34" s="20" t="s">
        <v>18</v>
      </c>
      <c r="B34" s="8"/>
      <c r="C34" s="8"/>
      <c r="D34" s="8"/>
      <c r="E34" s="8"/>
      <c r="F34" s="1">
        <f>VLOOKUP(C8,'3rd Term'!B9:AN48,32,FALSE)</f>
        <v>24</v>
      </c>
      <c r="G34" s="31">
        <f>VLOOKUP(C8,'3rd Term'!B9:AN48,33,FALSE)</f>
        <v>54</v>
      </c>
      <c r="H34" s="31">
        <f t="shared" si="1"/>
        <v>78</v>
      </c>
      <c r="I34" s="31">
        <f>(VLOOKUP(C8,'2nd Term'!B9:AN48,32,FALSE))+(VLOOKUP(C8,'2nd Term'!B9:AN48,33,FALSE))</f>
        <v>43</v>
      </c>
      <c r="J34" s="31">
        <f>(VLOOKUP($C$8,'1st Term'!$B$9:$AN$48,32,FALSE))+(VLOOKUP($C$8,'1st Term'!$B$9:$AN$48,33,FALSE))</f>
        <v>37</v>
      </c>
      <c r="K34" s="31">
        <f t="shared" si="2"/>
        <v>158</v>
      </c>
      <c r="L34" s="26">
        <f t="shared" si="0"/>
        <v>52.666666666666664</v>
      </c>
      <c r="M34" s="31" t="str">
        <f t="shared" si="3"/>
        <v>C</v>
      </c>
    </row>
    <row r="35" spans="1:13" x14ac:dyDescent="0.25">
      <c r="A35" s="20" t="s">
        <v>19</v>
      </c>
      <c r="B35" s="8"/>
      <c r="C35" s="8"/>
      <c r="D35" s="8"/>
      <c r="E35" s="8"/>
      <c r="F35" s="1">
        <f>VLOOKUP(C8,'3rd Term'!B9:AN48,34,FALSE)</f>
        <v>21</v>
      </c>
      <c r="G35" s="31">
        <f>VLOOKUP(C8,'3rd Term'!B9:AN48,35,FALSE)</f>
        <v>45</v>
      </c>
      <c r="H35" s="31">
        <f t="shared" si="1"/>
        <v>66</v>
      </c>
      <c r="I35" s="31">
        <f>(VLOOKUP(C8,'2nd Term'!B9:AN48,34,FALSE))+(VLOOKUP(C8,'2nd Term'!B9:AN48,35,FALSE))</f>
        <v>18</v>
      </c>
      <c r="J35" s="31">
        <f>(VLOOKUP($C$8,'1st Term'!$B$9:$AN$48,34,FALSE))+(VLOOKUP($C$8,'1st Term'!$B$9:$AN$48,35,FALSE))</f>
        <v>20</v>
      </c>
      <c r="K35" s="31">
        <f t="shared" si="2"/>
        <v>104</v>
      </c>
      <c r="L35" s="26">
        <f t="shared" si="0"/>
        <v>34.666666666666664</v>
      </c>
      <c r="M35" s="31" t="str">
        <f t="shared" si="3"/>
        <v>F</v>
      </c>
    </row>
    <row r="36" spans="1:13" x14ac:dyDescent="0.25">
      <c r="A36" s="20" t="s">
        <v>20</v>
      </c>
      <c r="B36" s="8"/>
      <c r="C36" s="8"/>
      <c r="D36" s="8"/>
      <c r="E36" s="8"/>
      <c r="F36" s="1">
        <f>VLOOKUP(C8,'3rd Term'!B9:AN48,36,FALSE)</f>
        <v>27</v>
      </c>
      <c r="G36" s="31">
        <f>VLOOKUP(C8,'3rd Term'!B9:AN48,37,FALSE)</f>
        <v>54</v>
      </c>
      <c r="H36" s="31">
        <f t="shared" si="1"/>
        <v>81</v>
      </c>
      <c r="I36" s="31">
        <f>(VLOOKUP(C8,'2nd Term'!B9:AN48,36,FALSE))+(VLOOKUP(C8,'2nd Term'!B9:AN48,37,FALSE))</f>
        <v>45</v>
      </c>
      <c r="J36" s="31">
        <f>(VLOOKUP($C$8,'1st Term'!$B$9:$AN$48,36,FALSE))+(VLOOKUP($C$8,'1st Term'!$B$9:$AN$48,37,FALSE))</f>
        <v>35</v>
      </c>
      <c r="K36" s="31">
        <f t="shared" si="2"/>
        <v>161</v>
      </c>
      <c r="L36" s="26">
        <f t="shared" si="0"/>
        <v>53.666666666666664</v>
      </c>
      <c r="M36" s="31" t="str">
        <f t="shared" si="3"/>
        <v>C</v>
      </c>
    </row>
    <row r="37" spans="1:13" x14ac:dyDescent="0.25">
      <c r="A37" s="18" t="s">
        <v>21</v>
      </c>
      <c r="B37" s="7"/>
      <c r="C37" s="7"/>
      <c r="D37" s="7"/>
      <c r="E37" s="7"/>
      <c r="F37" s="57">
        <f>VLOOKUP(C8,'3rd Term'!B9:AN48,38,FALSE)</f>
        <v>20</v>
      </c>
      <c r="G37" s="31">
        <f>VLOOKUP(C8,'3rd Term'!B9:AN48,39,FALSE)</f>
        <v>36</v>
      </c>
      <c r="H37" s="31">
        <f t="shared" si="1"/>
        <v>56</v>
      </c>
      <c r="I37" s="31">
        <f>(VLOOKUP(C8,'2nd Term'!B9:AN48,38,FALSE))+(VLOOKUP(C8,'2nd Term'!B9:AN48,39,FALSE))</f>
        <v>31</v>
      </c>
      <c r="J37" s="31">
        <f>(VLOOKUP($C$8,'1st Term'!$B$9:$AN$48,38,FALSE))+(VLOOKUP($C$8,'1st Term'!$B$9:$AN$48,39,FALSE))</f>
        <v>46</v>
      </c>
      <c r="K37" s="31">
        <f t="shared" si="2"/>
        <v>133</v>
      </c>
      <c r="L37" s="26">
        <f t="shared" si="0"/>
        <v>44.333333333333336</v>
      </c>
      <c r="M37" s="31" t="str">
        <f t="shared" si="3"/>
        <v>P</v>
      </c>
    </row>
    <row r="43" spans="1:13" x14ac:dyDescent="0.25">
      <c r="G43" s="110" t="s">
        <v>62</v>
      </c>
      <c r="H43" s="110"/>
      <c r="I43" s="110"/>
      <c r="J43" s="110"/>
      <c r="K43" s="110"/>
      <c r="L43" s="110"/>
      <c r="M43" s="110"/>
    </row>
    <row r="44" spans="1:13" x14ac:dyDescent="0.25">
      <c r="A44" s="77" t="s">
        <v>58</v>
      </c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</row>
    <row r="45" spans="1:13" ht="12.75" customHeight="1" x14ac:dyDescent="0.25">
      <c r="A45" s="50" t="str">
        <f>VLOOKUP(C8,comments!B8:X47,7,0)</f>
        <v>She is improving gradually but needs to participate more in class discussions.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</row>
    <row r="46" spans="1:13" x14ac:dyDescent="0.25">
      <c r="A46" s="50"/>
      <c r="B46" s="50"/>
      <c r="C46" s="50"/>
      <c r="D46" s="50"/>
      <c r="E46" s="50"/>
      <c r="F46" s="78"/>
      <c r="G46" s="78"/>
      <c r="H46" s="78"/>
      <c r="I46" s="78"/>
      <c r="J46" s="78"/>
      <c r="K46" s="78"/>
      <c r="L46" s="78"/>
      <c r="M46" s="78"/>
    </row>
    <row r="47" spans="1:13" x14ac:dyDescent="0.25">
      <c r="A47" s="79" t="s">
        <v>60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</row>
    <row r="48" spans="1:13" ht="12" customHeight="1" x14ac:dyDescent="0.25">
      <c r="A48" s="50" t="str">
        <f>VLOOKUP(C8,comments!B8:X47,14,0)</f>
        <v>Just fair. You can improve if only you will be more regular at school next term. Promoted to the Next Class.</v>
      </c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</row>
    <row r="49" spans="1:13" x14ac:dyDescent="0.25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</row>
    <row r="50" spans="1:13" x14ac:dyDescent="0.25">
      <c r="A50" s="79" t="s">
        <v>59</v>
      </c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</row>
    <row r="51" spans="1:13" ht="12" customHeight="1" x14ac:dyDescent="0.25">
      <c r="A51" s="78" t="s">
        <v>61</v>
      </c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</row>
  </sheetData>
  <sheetProtection algorithmName="SHA-512" hashValue="SN7mv1iOp4ZxXKqkejTBKt5OTWdWRkjGJENhN8JcZCDWZFDtHrE8pcwv9W6XwQXuv+0VA+Jw0saQmwlF634DUg==" saltValue="Jvf5LdrTpHAcPvfM5as8XA==" spinCount="100000" sheet="1" scenarios="1"/>
  <mergeCells count="13">
    <mergeCell ref="I14:I17"/>
    <mergeCell ref="A18:B18"/>
    <mergeCell ref="G43:M43"/>
    <mergeCell ref="B1:M2"/>
    <mergeCell ref="B3:M3"/>
    <mergeCell ref="B4:M4"/>
    <mergeCell ref="B5:M6"/>
    <mergeCell ref="K7:M12"/>
    <mergeCell ref="A8:B8"/>
    <mergeCell ref="A9:B9"/>
    <mergeCell ref="A10:B10"/>
    <mergeCell ref="A11:B11"/>
    <mergeCell ref="A12:B12"/>
  </mergeCells>
  <conditionalFormatting sqref="M19:M37">
    <cfRule type="cellIs" dxfId="59" priority="3" operator="equal">
      <formula>"F"</formula>
    </cfRule>
    <cfRule type="cellIs" dxfId="58" priority="4" operator="equal">
      <formula>"P"</formula>
    </cfRule>
    <cfRule type="cellIs" dxfId="57" priority="5" operator="equal">
      <formula>"C"</formula>
    </cfRule>
    <cfRule type="cellIs" dxfId="56" priority="6" operator="equal">
      <formula>"A"</formula>
    </cfRule>
  </conditionalFormatting>
  <conditionalFormatting sqref="F19:J37">
    <cfRule type="cellIs" dxfId="55" priority="1" operator="equal">
      <formula>0</formula>
    </cfRule>
    <cfRule type="colorScale" priority="2">
      <colorScale>
        <cfvo type="min"/>
        <cfvo type="num" val="0"/>
        <color rgb="FFFF7128"/>
        <color theme="0"/>
      </colorScale>
    </cfRule>
  </conditionalFormatting>
  <dataValidations count="1">
    <dataValidation type="list" allowBlank="1" showInputMessage="1" showErrorMessage="1" sqref="M14:M17" xr:uid="{0F46C5ED-9B9E-4425-BA02-714EEA043E72}">
      <formula1>"A,B,C,D,E"</formula1>
    </dataValidation>
  </dataValidations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76C2A-0D1F-410D-8688-7DF5F1B00117}">
  <sheetPr>
    <tabColor rgb="FF7030A0"/>
  </sheetPr>
  <dimension ref="A1:M51"/>
  <sheetViews>
    <sheetView workbookViewId="0">
      <selection activeCell="B5" sqref="B5:M6"/>
    </sheetView>
  </sheetViews>
  <sheetFormatPr defaultRowHeight="15" x14ac:dyDescent="0.25"/>
  <cols>
    <col min="3" max="3" width="8.140625" customWidth="1"/>
    <col min="4" max="4" width="9.42578125" customWidth="1"/>
    <col min="5" max="5" width="10.5703125" customWidth="1"/>
    <col min="6" max="6" width="6.28515625" customWidth="1"/>
    <col min="7" max="8" width="5.85546875" customWidth="1"/>
    <col min="9" max="9" width="5.5703125" customWidth="1"/>
    <col min="10" max="11" width="5.28515625" customWidth="1"/>
    <col min="12" max="12" width="6.28515625" customWidth="1"/>
    <col min="13" max="13" width="5.7109375" customWidth="1"/>
  </cols>
  <sheetData>
    <row r="1" spans="1:13" ht="15" customHeight="1" x14ac:dyDescent="0.25">
      <c r="A1" s="10"/>
      <c r="B1" s="116" t="s">
        <v>185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</row>
    <row r="2" spans="1:13" ht="15" customHeight="1" x14ac:dyDescent="0.25">
      <c r="A2" s="10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</row>
    <row r="3" spans="1:13" ht="15.75" x14ac:dyDescent="0.25">
      <c r="A3" s="10"/>
      <c r="B3" s="117" t="s">
        <v>184</v>
      </c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</row>
    <row r="4" spans="1:13" ht="15.75" x14ac:dyDescent="0.25">
      <c r="A4" s="10"/>
      <c r="B4" s="118" t="s">
        <v>186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</row>
    <row r="5" spans="1:13" ht="15" customHeight="1" x14ac:dyDescent="0.25">
      <c r="A5" s="10"/>
      <c r="B5" s="119" t="s">
        <v>36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</row>
    <row r="6" spans="1:13" ht="15" customHeight="1" x14ac:dyDescent="0.25">
      <c r="A6" s="10"/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</row>
    <row r="7" spans="1:13" ht="15" customHeight="1" x14ac:dyDescent="0.25">
      <c r="I7" s="10"/>
      <c r="J7" s="10"/>
      <c r="K7" s="122" t="s">
        <v>105</v>
      </c>
      <c r="L7" s="122"/>
      <c r="M7" s="122"/>
    </row>
    <row r="8" spans="1:13" x14ac:dyDescent="0.25">
      <c r="A8" s="120" t="s">
        <v>37</v>
      </c>
      <c r="B8" s="120"/>
      <c r="C8" s="29" t="str">
        <f>('1st Term'!B20)</f>
        <v>JAMES DIVINE</v>
      </c>
      <c r="D8" s="8"/>
      <c r="E8" s="8"/>
      <c r="F8" s="8"/>
      <c r="G8" s="8"/>
      <c r="H8" s="9"/>
      <c r="I8" s="10"/>
      <c r="J8" s="10"/>
      <c r="K8" s="122"/>
      <c r="L8" s="122"/>
      <c r="M8" s="122"/>
    </row>
    <row r="9" spans="1:13" x14ac:dyDescent="0.25">
      <c r="A9" s="121" t="s">
        <v>38</v>
      </c>
      <c r="B9" s="115"/>
      <c r="C9" s="29" t="str">
        <f>('1st Term'!B7)</f>
        <v>JSS 1A</v>
      </c>
      <c r="D9" s="8"/>
      <c r="E9" s="8"/>
      <c r="F9" s="8"/>
      <c r="G9" s="8"/>
      <c r="H9" s="9"/>
      <c r="I9" s="10"/>
      <c r="J9" s="10"/>
      <c r="K9" s="122"/>
      <c r="L9" s="122"/>
      <c r="M9" s="122"/>
    </row>
    <row r="10" spans="1:13" x14ac:dyDescent="0.25">
      <c r="A10" s="121" t="s">
        <v>39</v>
      </c>
      <c r="B10" s="115"/>
      <c r="C10" s="29" t="str">
        <f>(comments!C4)</f>
        <v>2025/2026</v>
      </c>
      <c r="D10" s="8"/>
      <c r="E10" s="8"/>
      <c r="F10" s="43"/>
      <c r="G10" s="43"/>
      <c r="H10" s="9"/>
      <c r="I10" s="10"/>
      <c r="J10" s="10"/>
      <c r="K10" s="122"/>
      <c r="L10" s="122"/>
      <c r="M10" s="122"/>
    </row>
    <row r="11" spans="1:13" x14ac:dyDescent="0.25">
      <c r="A11" s="121" t="s">
        <v>40</v>
      </c>
      <c r="B11" s="115"/>
      <c r="C11" s="30" t="str">
        <f>(comments!B5)</f>
        <v>THIRD TERM</v>
      </c>
      <c r="D11" s="7"/>
      <c r="E11" s="7"/>
      <c r="F11" s="13" t="s">
        <v>167</v>
      </c>
      <c r="G11" s="8"/>
      <c r="H11" s="53">
        <f>INDEX(comments!D8:D47,MATCH(sheet12!C8,comments!B8:B47,0))</f>
        <v>39.088235294117652</v>
      </c>
      <c r="I11" s="10"/>
      <c r="J11" s="10"/>
      <c r="K11" s="122"/>
      <c r="L11" s="122"/>
      <c r="M11" s="122"/>
    </row>
    <row r="12" spans="1:13" x14ac:dyDescent="0.25">
      <c r="A12" s="114" t="s">
        <v>41</v>
      </c>
      <c r="B12" s="115"/>
      <c r="C12" s="30" t="str">
        <f>(comments!E6)</f>
        <v>20TH APRIL 2026</v>
      </c>
      <c r="D12" s="7"/>
      <c r="E12" s="7"/>
      <c r="F12" s="13" t="s">
        <v>44</v>
      </c>
      <c r="G12" s="8"/>
      <c r="H12" s="51" t="str">
        <f>INDEX(comments!E8:E47,MATCH(sheet12!C8,comments!B8:B47,0))</f>
        <v>21st</v>
      </c>
      <c r="I12" s="10"/>
      <c r="J12" s="10"/>
      <c r="K12" s="123"/>
      <c r="L12" s="123"/>
      <c r="M12" s="123"/>
    </row>
    <row r="13" spans="1:13" x14ac:dyDescent="0.25">
      <c r="A13" s="48"/>
      <c r="B13" s="49"/>
      <c r="C13" s="50"/>
      <c r="F13" s="25"/>
      <c r="H13" s="52"/>
      <c r="I13" s="10"/>
      <c r="J13" s="10"/>
      <c r="K13" s="54"/>
      <c r="L13" s="54"/>
      <c r="M13" s="54"/>
    </row>
    <row r="14" spans="1:13" ht="16.5" customHeight="1" x14ac:dyDescent="0.25">
      <c r="A14" s="16" t="s">
        <v>48</v>
      </c>
      <c r="B14" s="8"/>
      <c r="C14" s="8"/>
      <c r="D14" s="13" t="s">
        <v>49</v>
      </c>
      <c r="E14" s="8"/>
      <c r="F14" s="8"/>
      <c r="G14" s="8"/>
      <c r="H14" s="15"/>
      <c r="I14" s="113" t="s">
        <v>50</v>
      </c>
      <c r="J14" s="45" t="s">
        <v>32</v>
      </c>
      <c r="K14" s="44"/>
      <c r="L14" s="17"/>
      <c r="M14" s="44" t="s">
        <v>52</v>
      </c>
    </row>
    <row r="15" spans="1:13" ht="21" customHeight="1" x14ac:dyDescent="0.25">
      <c r="A15" s="11" t="s">
        <v>46</v>
      </c>
      <c r="B15" s="7"/>
      <c r="C15" s="7"/>
      <c r="D15" s="55">
        <f>(comments!C6)</f>
        <v>110</v>
      </c>
      <c r="E15" s="8"/>
      <c r="F15" s="8"/>
      <c r="G15" s="8"/>
      <c r="H15" s="14"/>
      <c r="I15" s="113"/>
      <c r="J15" s="45" t="s">
        <v>33</v>
      </c>
      <c r="K15" s="44"/>
      <c r="L15" s="17"/>
      <c r="M15" s="44" t="s">
        <v>51</v>
      </c>
    </row>
    <row r="16" spans="1:13" ht="18.75" customHeight="1" x14ac:dyDescent="0.25">
      <c r="A16" s="12" t="s">
        <v>47</v>
      </c>
      <c r="B16" s="8"/>
      <c r="C16" s="8"/>
      <c r="D16" s="56">
        <f>VLOOKUP(C8,comments!B8:C47,2,FALSE)</f>
        <v>0</v>
      </c>
      <c r="E16" s="8"/>
      <c r="F16" s="8"/>
      <c r="G16" s="8"/>
      <c r="H16" s="14"/>
      <c r="I16" s="113"/>
      <c r="J16" s="45" t="s">
        <v>34</v>
      </c>
      <c r="K16" s="44"/>
      <c r="L16" s="17"/>
      <c r="M16" s="44" t="s">
        <v>51</v>
      </c>
    </row>
    <row r="17" spans="1:13" ht="17.25" customHeight="1" x14ac:dyDescent="0.25">
      <c r="A17" s="11" t="s">
        <v>45</v>
      </c>
      <c r="B17" s="7"/>
      <c r="C17" s="7"/>
      <c r="D17" s="56">
        <f>(comments!D6)</f>
        <v>22</v>
      </c>
      <c r="E17" s="8"/>
      <c r="F17" s="8"/>
      <c r="G17" s="8"/>
      <c r="H17" s="14"/>
      <c r="I17" s="113"/>
      <c r="J17" s="47" t="s">
        <v>35</v>
      </c>
      <c r="K17" s="46"/>
      <c r="L17" s="40"/>
      <c r="M17" s="44" t="s">
        <v>52</v>
      </c>
    </row>
    <row r="18" spans="1:13" ht="61.5" customHeight="1" x14ac:dyDescent="0.25">
      <c r="A18" s="111" t="s">
        <v>53</v>
      </c>
      <c r="B18" s="112"/>
      <c r="C18" s="19"/>
      <c r="D18" s="19"/>
      <c r="E18" s="19"/>
      <c r="F18" s="41" t="s">
        <v>172</v>
      </c>
      <c r="G18" s="41" t="s">
        <v>171</v>
      </c>
      <c r="H18" s="41" t="s">
        <v>173</v>
      </c>
      <c r="I18" s="42" t="s">
        <v>174</v>
      </c>
      <c r="J18" s="42" t="s">
        <v>175</v>
      </c>
      <c r="K18" s="41" t="s">
        <v>165</v>
      </c>
      <c r="L18" s="41" t="s">
        <v>166</v>
      </c>
      <c r="M18" s="41" t="s">
        <v>54</v>
      </c>
    </row>
    <row r="19" spans="1:13" ht="15" customHeight="1" x14ac:dyDescent="0.25">
      <c r="A19" s="20" t="s">
        <v>6</v>
      </c>
      <c r="B19" s="8"/>
      <c r="C19" s="8"/>
      <c r="D19" s="8"/>
      <c r="E19" s="8"/>
      <c r="F19" s="31">
        <f>VLOOKUP(C8,'3rd Term'!B9:AN48,2,FALSE)</f>
        <v>12</v>
      </c>
      <c r="G19" s="31">
        <f>VLOOKUP(C8,'3rd Term'!B9:AN48,3,FALSE)</f>
        <v>14</v>
      </c>
      <c r="H19" s="31">
        <f>SUM(F19:G19)</f>
        <v>26</v>
      </c>
      <c r="I19" s="5">
        <f>(VLOOKUP(C8,'2nd Term'!B9:AN48,2,FALSE))+(VLOOKUP(C8,'2nd Term'!B9:AN48,3,FALSE))</f>
        <v>0</v>
      </c>
      <c r="J19" s="31">
        <f>(VLOOKUP($C$8,'1st Term'!$B$9:$AN$48,2,FALSE))+(VLOOKUP($C$8,'1st Term'!$B$9:$AN$48,3,FALSE))</f>
        <v>56</v>
      </c>
      <c r="K19" s="31">
        <f>IF(SUM(H19:J19)=0,"-",SUM(H19:J19))</f>
        <v>82</v>
      </c>
      <c r="L19" s="26">
        <f t="shared" ref="L19:L37" si="0">IFERROR(((H19)+(I19)+(J19))/((--(H19&gt;0))+(--(I19&gt;0))+(--(J19&gt;0))),"-")</f>
        <v>41</v>
      </c>
      <c r="M19" s="31" t="str">
        <f>IF(L19="-","-",IF(L19&gt;=70,"A",IF(L19&gt;=50,"C",IF(L19&gt;=40,"P","F"))))</f>
        <v>P</v>
      </c>
    </row>
    <row r="20" spans="1:13" ht="15" customHeight="1" x14ac:dyDescent="0.25">
      <c r="A20" s="20" t="s">
        <v>3</v>
      </c>
      <c r="B20" s="8"/>
      <c r="C20" s="8"/>
      <c r="D20" s="8"/>
      <c r="E20" s="8"/>
      <c r="F20" s="1">
        <f>VLOOKUP(C8,'3rd Term'!B9:AN48,4,FALSE)</f>
        <v>16</v>
      </c>
      <c r="G20" s="31">
        <f>VLOOKUP(C8,'3rd Term'!B9:AN48,5,FALSE)</f>
        <v>27</v>
      </c>
      <c r="H20" s="31">
        <f t="shared" ref="H20:H37" si="1">SUM(F20:G20)</f>
        <v>43</v>
      </c>
      <c r="I20" s="31">
        <f>(VLOOKUP(C8,'2nd Term'!B9:AN48,4,FALSE))+(VLOOKUP(C8,'2nd Term'!B9:AN48,5,FALSE))</f>
        <v>0</v>
      </c>
      <c r="J20" s="31">
        <f>(VLOOKUP($C$8,'1st Term'!$B$9:$AN$48,4,FALSE))+(VLOOKUP($C$8,'1st Term'!$B$9:$AN$48,5,FALSE))</f>
        <v>33</v>
      </c>
      <c r="K20" s="31">
        <f t="shared" ref="K20:K37" si="2">IF(SUM(H20:J20)=0,"-",SUM(H20:J20))</f>
        <v>76</v>
      </c>
      <c r="L20" s="26">
        <f t="shared" si="0"/>
        <v>38</v>
      </c>
      <c r="M20" s="31" t="str">
        <f t="shared" ref="M20:M37" si="3">IF(L20="-","-",IF(L20&gt;=70,"A",IF(L20&gt;=50,"C",IF(L20&gt;=40,"P","F"))))</f>
        <v>F</v>
      </c>
    </row>
    <row r="21" spans="1:13" ht="15" customHeight="1" x14ac:dyDescent="0.25">
      <c r="A21" s="20" t="s">
        <v>4</v>
      </c>
      <c r="B21" s="8"/>
      <c r="C21" s="8"/>
      <c r="D21" s="8"/>
      <c r="E21" s="8"/>
      <c r="F21" s="1">
        <f>VLOOKUP(C8,'3rd Term'!B9:AN48,6,FALSE)</f>
        <v>24</v>
      </c>
      <c r="G21" s="31">
        <f>VLOOKUP(C8,'3rd Term'!B9:AN48,7,FALSE)</f>
        <v>28</v>
      </c>
      <c r="H21" s="31">
        <f t="shared" si="1"/>
        <v>52</v>
      </c>
      <c r="I21" s="31">
        <f>(VLOOKUP(C8,'2nd Term'!B9:AN48,6,FALSE))+(VLOOKUP(C8,'2nd Term'!B9:AN48,7,FALSE))</f>
        <v>0</v>
      </c>
      <c r="J21" s="31">
        <f>(VLOOKUP($C$8,'1st Term'!$B$9:$AN$48,6,FALSE))+(VLOOKUP($C$8,'1st Term'!$B$9:$AN$48,7,FALSE))</f>
        <v>34</v>
      </c>
      <c r="K21" s="31">
        <f t="shared" si="2"/>
        <v>86</v>
      </c>
      <c r="L21" s="26">
        <f t="shared" si="0"/>
        <v>43</v>
      </c>
      <c r="M21" s="31" t="str">
        <f t="shared" si="3"/>
        <v>P</v>
      </c>
    </row>
    <row r="22" spans="1:13" ht="15" customHeight="1" x14ac:dyDescent="0.25">
      <c r="A22" s="20" t="s">
        <v>5</v>
      </c>
      <c r="B22" s="8"/>
      <c r="C22" s="8"/>
      <c r="D22" s="8"/>
      <c r="E22" s="8"/>
      <c r="F22" s="1">
        <f>VLOOKUP(C8,'3rd Term'!B9:AN48,8,FALSE)</f>
        <v>20</v>
      </c>
      <c r="G22" s="31">
        <f>VLOOKUP(C8,'3rd Term'!B9:AN48,9,FALSE)</f>
        <v>26</v>
      </c>
      <c r="H22" s="31">
        <f t="shared" si="1"/>
        <v>46</v>
      </c>
      <c r="I22" s="31">
        <f>(VLOOKUP(C8,'2nd Term'!B9:AN48,8,FALSE))+(VLOOKUP(C8,'2nd Term'!B9:AN48,9,FALSE))</f>
        <v>0</v>
      </c>
      <c r="J22" s="31">
        <f>(VLOOKUP($C$8,'1st Term'!$B$9:$AN$48,8,FALSE))+(VLOOKUP($C$8,'1st Term'!$B$9:$AN$48,9,FALSE))</f>
        <v>40</v>
      </c>
      <c r="K22" s="31">
        <f t="shared" si="2"/>
        <v>86</v>
      </c>
      <c r="L22" s="26">
        <f t="shared" si="0"/>
        <v>43</v>
      </c>
      <c r="M22" s="31" t="str">
        <f t="shared" si="3"/>
        <v>P</v>
      </c>
    </row>
    <row r="23" spans="1:13" ht="15" customHeight="1" x14ac:dyDescent="0.25">
      <c r="A23" s="20" t="s">
        <v>7</v>
      </c>
      <c r="B23" s="8"/>
      <c r="C23" s="8"/>
      <c r="D23" s="8"/>
      <c r="E23" s="8"/>
      <c r="F23" s="1">
        <f>VLOOKUP(C8,'3rd Term'!B9:AN48,10,FALSE)</f>
        <v>16</v>
      </c>
      <c r="G23" s="31">
        <f>VLOOKUP(C8,'3rd Term'!B9:AN48,11,FALSE)</f>
        <v>30</v>
      </c>
      <c r="H23" s="31">
        <f t="shared" si="1"/>
        <v>46</v>
      </c>
      <c r="I23" s="31">
        <f>(VLOOKUP(C8,'2nd Term'!B9:AN48,10,FALSE))+(VLOOKUP(C8,'2nd Term'!B9:AN48,11,FALSE))</f>
        <v>0</v>
      </c>
      <c r="J23" s="31">
        <f>(VLOOKUP($C$8,'1st Term'!$B$9:$AN$48,10,FALSE))+(VLOOKUP($C$8,'1st Term'!$B$9:$AN$48,11,FALSE))</f>
        <v>40</v>
      </c>
      <c r="K23" s="31">
        <f t="shared" si="2"/>
        <v>86</v>
      </c>
      <c r="L23" s="26">
        <f t="shared" si="0"/>
        <v>43</v>
      </c>
      <c r="M23" s="31" t="str">
        <f t="shared" si="3"/>
        <v>P</v>
      </c>
    </row>
    <row r="24" spans="1:13" ht="15" customHeight="1" x14ac:dyDescent="0.25">
      <c r="A24" s="20" t="s">
        <v>8</v>
      </c>
      <c r="B24" s="8"/>
      <c r="C24" s="8"/>
      <c r="D24" s="8"/>
      <c r="E24" s="8"/>
      <c r="F24" s="1">
        <f>VLOOKUP(C8,'3rd Term'!B9:AN48,12,FALSE)</f>
        <v>19</v>
      </c>
      <c r="G24" s="31">
        <f>VLOOKUP(C8,'3rd Term'!B9:AN48,13,FALSE)</f>
        <v>21</v>
      </c>
      <c r="H24" s="31">
        <f t="shared" si="1"/>
        <v>40</v>
      </c>
      <c r="I24" s="31">
        <f>(VLOOKUP(C8,'2nd Term'!B9:AN48,12,FALSE))+(VLOOKUP(C8,'2nd Term'!B9:AN48,13,FALSE))</f>
        <v>0</v>
      </c>
      <c r="J24" s="31">
        <f>(VLOOKUP($C$8,'1st Term'!$B$9:$AN$48,12,FALSE))+(VLOOKUP($C$8,'1st Term'!$B$9:$AN$48,13,FALSE))</f>
        <v>31</v>
      </c>
      <c r="K24" s="31">
        <f t="shared" si="2"/>
        <v>71</v>
      </c>
      <c r="L24" s="26">
        <f t="shared" si="0"/>
        <v>35.5</v>
      </c>
      <c r="M24" s="31" t="str">
        <f t="shared" si="3"/>
        <v>F</v>
      </c>
    </row>
    <row r="25" spans="1:13" ht="15" customHeight="1" x14ac:dyDescent="0.25">
      <c r="A25" s="20" t="s">
        <v>9</v>
      </c>
      <c r="B25" s="8"/>
      <c r="C25" s="8"/>
      <c r="D25" s="8"/>
      <c r="E25" s="8"/>
      <c r="F25" s="1">
        <f>VLOOKUP(C8,'3rd Term'!B9:AN48,14,FALSE)</f>
        <v>17</v>
      </c>
      <c r="G25" s="31">
        <f>VLOOKUP(C8,'3rd Term'!B9:AN48,15,FALSE)</f>
        <v>6</v>
      </c>
      <c r="H25" s="31">
        <f t="shared" si="1"/>
        <v>23</v>
      </c>
      <c r="I25" s="31">
        <f>(VLOOKUP(C8,'2nd Term'!B9:AN48,14,FALSE))+(VLOOKUP(C8,'2nd Term'!B9:AN48,15,FALSE))</f>
        <v>0</v>
      </c>
      <c r="J25" s="31">
        <f>(VLOOKUP($C$8,'1st Term'!$B$9:$AN$48,14,FALSE))+(VLOOKUP($C$8,'1st Term'!$B$9:$AN$48,15,FALSE))</f>
        <v>42</v>
      </c>
      <c r="K25" s="31">
        <f t="shared" si="2"/>
        <v>65</v>
      </c>
      <c r="L25" s="26">
        <f t="shared" si="0"/>
        <v>32.5</v>
      </c>
      <c r="M25" s="31" t="str">
        <f t="shared" si="3"/>
        <v>F</v>
      </c>
    </row>
    <row r="26" spans="1:13" ht="15" customHeight="1" x14ac:dyDescent="0.25">
      <c r="A26" s="20" t="s">
        <v>10</v>
      </c>
      <c r="B26" s="8"/>
      <c r="C26" s="8"/>
      <c r="D26" s="8"/>
      <c r="E26" s="8"/>
      <c r="F26" s="1">
        <f>VLOOKUP(C8,'3rd Term'!B9:AN48,16,FALSE)</f>
        <v>19</v>
      </c>
      <c r="G26" s="31">
        <f>VLOOKUP(C8,'3rd Term'!B9:AN48,17,FALSE)</f>
        <v>26</v>
      </c>
      <c r="H26" s="31">
        <f t="shared" si="1"/>
        <v>45</v>
      </c>
      <c r="I26" s="31">
        <f>(VLOOKUP(C8,'2nd Term'!B9:AN48,16,FALSE))+(VLOOKUP(C8,'2nd Term'!B9:AN48,17,FALSE))</f>
        <v>0</v>
      </c>
      <c r="J26" s="31">
        <f>(VLOOKUP($C$8,'1st Term'!$B$9:$AN$48,16,FALSE))+(VLOOKUP($C$8,'1st Term'!$B$9:$AN$48,17,FALSE))</f>
        <v>31</v>
      </c>
      <c r="K26" s="31">
        <f t="shared" si="2"/>
        <v>76</v>
      </c>
      <c r="L26" s="26">
        <f t="shared" si="0"/>
        <v>38</v>
      </c>
      <c r="M26" s="31" t="str">
        <f t="shared" si="3"/>
        <v>F</v>
      </c>
    </row>
    <row r="27" spans="1:13" ht="15" hidden="1" customHeight="1" x14ac:dyDescent="0.25">
      <c r="A27" s="20" t="s">
        <v>11</v>
      </c>
      <c r="B27" s="8"/>
      <c r="C27" s="8"/>
      <c r="D27" s="8"/>
      <c r="E27" s="8"/>
      <c r="F27" s="1">
        <f>VLOOKUP(C8,'3rd Term'!B9:AN48,18,FALSE)</f>
        <v>0</v>
      </c>
      <c r="G27" s="31">
        <f>VLOOKUP(C8,'3rd Term'!B9:AN48,19,FALSE)</f>
        <v>0</v>
      </c>
      <c r="H27" s="31">
        <f t="shared" si="1"/>
        <v>0</v>
      </c>
      <c r="I27" s="31">
        <f>(VLOOKUP(C8,'2nd Term'!B9:AN48,18,FALSE))+(VLOOKUP(C8,'2nd Term'!B9:AN48,19,FALSE))</f>
        <v>0</v>
      </c>
      <c r="J27" s="31">
        <f>(VLOOKUP($C$8,'1st Term'!$B$9:$AN$48,18,FALSE))+(VLOOKUP($C$8,'1st Term'!$B$9:$AN$48,19,FALSE))</f>
        <v>0</v>
      </c>
      <c r="K27" s="31" t="str">
        <f t="shared" si="2"/>
        <v>-</v>
      </c>
      <c r="L27" s="26" t="str">
        <f t="shared" si="0"/>
        <v>-</v>
      </c>
      <c r="M27" s="31" t="str">
        <f t="shared" si="3"/>
        <v>-</v>
      </c>
    </row>
    <row r="28" spans="1:13" ht="15" customHeight="1" x14ac:dyDescent="0.25">
      <c r="A28" s="20" t="s">
        <v>13</v>
      </c>
      <c r="B28" s="8"/>
      <c r="C28" s="8"/>
      <c r="D28" s="8"/>
      <c r="E28" s="8"/>
      <c r="F28" s="1">
        <f>VLOOKUP(C8,'3rd Term'!B9:AN48,20,FALSE)</f>
        <v>15</v>
      </c>
      <c r="G28" s="31">
        <f>VLOOKUP(C8,'3rd Term'!B9:AN48,21,FALSE)</f>
        <v>46</v>
      </c>
      <c r="H28" s="31">
        <f t="shared" si="1"/>
        <v>61</v>
      </c>
      <c r="I28" s="31">
        <f>(VLOOKUP(C8,'2nd Term'!B9:AN48,20,FALSE))+(VLOOKUP(C8,'2nd Term'!B9:AN48,21,FALSE))</f>
        <v>0</v>
      </c>
      <c r="J28" s="31">
        <f>(VLOOKUP($C$8,'1st Term'!$B$9:$AN$48,20,FALSE))+(VLOOKUP($C$8,'1st Term'!$B$9:$AN$48,21,FALSE))</f>
        <v>20</v>
      </c>
      <c r="K28" s="31">
        <f t="shared" si="2"/>
        <v>81</v>
      </c>
      <c r="L28" s="26">
        <f t="shared" si="0"/>
        <v>40.5</v>
      </c>
      <c r="M28" s="31" t="str">
        <f t="shared" si="3"/>
        <v>P</v>
      </c>
    </row>
    <row r="29" spans="1:13" x14ac:dyDescent="0.25">
      <c r="A29" s="20" t="s">
        <v>14</v>
      </c>
      <c r="B29" s="8"/>
      <c r="C29" s="8"/>
      <c r="D29" s="8"/>
      <c r="E29" s="8"/>
      <c r="F29" s="1">
        <f>VLOOKUP(C8,'3rd Term'!B9:AN48,22,FALSE)</f>
        <v>18</v>
      </c>
      <c r="G29" s="31">
        <f>VLOOKUP(C8,'3rd Term'!B9:AN48,23,FALSE)</f>
        <v>5</v>
      </c>
      <c r="H29" s="31">
        <f t="shared" si="1"/>
        <v>23</v>
      </c>
      <c r="I29" s="31">
        <f>(VLOOKUP(C8,'2nd Term'!B9:AN48,22,FALSE))+(VLOOKUP(C8,'2nd Term'!B9:AN48,23,FALSE))</f>
        <v>0</v>
      </c>
      <c r="J29" s="31">
        <f>(VLOOKUP($C$8,'1st Term'!$B$9:$AN$48,22,FALSE))+(VLOOKUP($C$8,'1st Term'!$B$9:$AN$48,23,FALSE))</f>
        <v>34</v>
      </c>
      <c r="K29" s="31">
        <f t="shared" si="2"/>
        <v>57</v>
      </c>
      <c r="L29" s="26">
        <f t="shared" si="0"/>
        <v>28.5</v>
      </c>
      <c r="M29" s="31" t="str">
        <f t="shared" si="3"/>
        <v>F</v>
      </c>
    </row>
    <row r="30" spans="1:13" x14ac:dyDescent="0.25">
      <c r="A30" s="20" t="s">
        <v>15</v>
      </c>
      <c r="B30" s="8"/>
      <c r="C30" s="8"/>
      <c r="D30" s="8"/>
      <c r="E30" s="8"/>
      <c r="F30" s="1">
        <f>VLOOKUP(C8,'3rd Term'!B9:AN48,24,FALSE)</f>
        <v>24</v>
      </c>
      <c r="G30" s="31">
        <f>VLOOKUP(C8,'3rd Term'!B9:AN48,25,FALSE)</f>
        <v>36</v>
      </c>
      <c r="H30" s="31">
        <f t="shared" si="1"/>
        <v>60</v>
      </c>
      <c r="I30" s="31">
        <f>(VLOOKUP(C8,'2nd Term'!B9:AN48,24,FALSE))+(VLOOKUP(C8,'2nd Term'!B9:AN48,25,FALSE))</f>
        <v>0</v>
      </c>
      <c r="J30" s="31">
        <f>(VLOOKUP($C$8,'1st Term'!$B$9:$AN$48,24,FALSE))+(VLOOKUP($C$8,'1st Term'!$B$9:$AN$48,25,FALSE))</f>
        <v>50</v>
      </c>
      <c r="K30" s="31">
        <f t="shared" si="2"/>
        <v>110</v>
      </c>
      <c r="L30" s="26">
        <f t="shared" si="0"/>
        <v>55</v>
      </c>
      <c r="M30" s="31" t="str">
        <f t="shared" si="3"/>
        <v>C</v>
      </c>
    </row>
    <row r="31" spans="1:13" hidden="1" x14ac:dyDescent="0.25">
      <c r="A31" s="20" t="s">
        <v>22</v>
      </c>
      <c r="B31" s="8"/>
      <c r="C31" s="8"/>
      <c r="D31" s="8"/>
      <c r="E31" s="8"/>
      <c r="F31" s="1">
        <f>VLOOKUP(C8,'3rd Term'!B9:AN48,26,FALSE)</f>
        <v>0</v>
      </c>
      <c r="G31" s="31">
        <f>VLOOKUP(C8,'3rd Term'!B9:AN48,27,FALSE)</f>
        <v>0</v>
      </c>
      <c r="H31" s="31">
        <f t="shared" si="1"/>
        <v>0</v>
      </c>
      <c r="I31" s="31">
        <f>(VLOOKUP(C8,'2nd Term'!B9:AN48,26,FALSE))+(VLOOKUP(C8,'2nd Term'!B9:AN48,27,FALSE))</f>
        <v>0</v>
      </c>
      <c r="J31" s="31">
        <f>(VLOOKUP($C$8,'1st Term'!$B$9:$AN$48,26,FALSE))+(VLOOKUP($C$8,'1st Term'!$B$9:$AN$48,27,FALSE))</f>
        <v>0</v>
      </c>
      <c r="K31" s="31" t="str">
        <f t="shared" si="2"/>
        <v>-</v>
      </c>
      <c r="L31" s="26" t="str">
        <f t="shared" si="0"/>
        <v>-</v>
      </c>
      <c r="M31" s="31" t="str">
        <f t="shared" si="3"/>
        <v>-</v>
      </c>
    </row>
    <row r="32" spans="1:13" x14ac:dyDescent="0.25">
      <c r="A32" s="20" t="s">
        <v>16</v>
      </c>
      <c r="B32" s="8"/>
      <c r="C32" s="8"/>
      <c r="D32" s="8"/>
      <c r="E32" s="8"/>
      <c r="F32" s="1">
        <f>VLOOKUP(C8,'3rd Term'!B9:AN48,28,FALSE)</f>
        <v>15</v>
      </c>
      <c r="G32" s="31">
        <f>VLOOKUP(C8,'3rd Term'!B9:AN48,29,FALSE)</f>
        <v>8</v>
      </c>
      <c r="H32" s="31">
        <f t="shared" si="1"/>
        <v>23</v>
      </c>
      <c r="I32" s="31">
        <f>(VLOOKUP(C8,'2nd Term'!B9:AN48,28,FALSE))+(VLOOKUP(C8,'2nd Term'!B9:AN48,29,FALSE))</f>
        <v>0</v>
      </c>
      <c r="J32" s="31">
        <f>(VLOOKUP($C$8,'1st Term'!$B$9:$AN$48,28,FALSE))+(VLOOKUP($C$8,'1st Term'!$B$9:$AN$48,29,FALSE))</f>
        <v>37</v>
      </c>
      <c r="K32" s="31">
        <f t="shared" si="2"/>
        <v>60</v>
      </c>
      <c r="L32" s="26">
        <f t="shared" si="0"/>
        <v>30</v>
      </c>
      <c r="M32" s="31" t="str">
        <f t="shared" si="3"/>
        <v>F</v>
      </c>
    </row>
    <row r="33" spans="1:13" x14ac:dyDescent="0.25">
      <c r="A33" s="20" t="s">
        <v>17</v>
      </c>
      <c r="B33" s="8"/>
      <c r="C33" s="8"/>
      <c r="D33" s="8"/>
      <c r="E33" s="8"/>
      <c r="F33" s="1">
        <f>VLOOKUP(C8,'3rd Term'!B9:AN48,30,FALSE)</f>
        <v>30</v>
      </c>
      <c r="G33" s="31">
        <f>VLOOKUP(C8,'3rd Term'!B9:AN48,31,FALSE)</f>
        <v>17</v>
      </c>
      <c r="H33" s="31">
        <f t="shared" si="1"/>
        <v>47</v>
      </c>
      <c r="I33" s="31">
        <f>(VLOOKUP(C8,'2nd Term'!B9:AN48,30,FALSE))+(VLOOKUP(C8,'2nd Term'!B9:AN48,31,FALSE))</f>
        <v>0</v>
      </c>
      <c r="J33" s="31">
        <f>(VLOOKUP($C$8,'1st Term'!$B$9:$AN$48,30,FALSE))+(VLOOKUP($C$8,'1st Term'!$B$9:$AN$48,31,FALSE))</f>
        <v>36</v>
      </c>
      <c r="K33" s="31">
        <f t="shared" si="2"/>
        <v>83</v>
      </c>
      <c r="L33" s="26">
        <f t="shared" si="0"/>
        <v>41.5</v>
      </c>
      <c r="M33" s="31" t="str">
        <f t="shared" si="3"/>
        <v>P</v>
      </c>
    </row>
    <row r="34" spans="1:13" x14ac:dyDescent="0.25">
      <c r="A34" s="20" t="s">
        <v>18</v>
      </c>
      <c r="B34" s="8"/>
      <c r="C34" s="8"/>
      <c r="D34" s="8"/>
      <c r="E34" s="8"/>
      <c r="F34" s="1">
        <f>VLOOKUP(C8,'3rd Term'!B9:AN48,32,FALSE)</f>
        <v>22</v>
      </c>
      <c r="G34" s="31">
        <f>VLOOKUP(C8,'3rd Term'!B9:AN48,33,FALSE)</f>
        <v>36</v>
      </c>
      <c r="H34" s="31">
        <f t="shared" si="1"/>
        <v>58</v>
      </c>
      <c r="I34" s="31">
        <f>(VLOOKUP(C8,'2nd Term'!B9:AN48,32,FALSE))+(VLOOKUP(C8,'2nd Term'!B9:AN48,33,FALSE))</f>
        <v>0</v>
      </c>
      <c r="J34" s="31">
        <f>(VLOOKUP($C$8,'1st Term'!$B$9:$AN$48,32,FALSE))+(VLOOKUP($C$8,'1st Term'!$B$9:$AN$48,33,FALSE))</f>
        <v>40</v>
      </c>
      <c r="K34" s="31">
        <f t="shared" si="2"/>
        <v>98</v>
      </c>
      <c r="L34" s="26">
        <f t="shared" si="0"/>
        <v>49</v>
      </c>
      <c r="M34" s="31" t="str">
        <f t="shared" si="3"/>
        <v>P</v>
      </c>
    </row>
    <row r="35" spans="1:13" x14ac:dyDescent="0.25">
      <c r="A35" s="20" t="s">
        <v>19</v>
      </c>
      <c r="B35" s="8"/>
      <c r="C35" s="8"/>
      <c r="D35" s="8"/>
      <c r="E35" s="8"/>
      <c r="F35" s="1">
        <f>VLOOKUP(C8,'3rd Term'!B9:AN48,34,FALSE)</f>
        <v>13</v>
      </c>
      <c r="G35" s="31">
        <f>VLOOKUP(C8,'3rd Term'!B9:AN48,35,FALSE)</f>
        <v>16</v>
      </c>
      <c r="H35" s="31">
        <f t="shared" si="1"/>
        <v>29</v>
      </c>
      <c r="I35" s="31">
        <f>(VLOOKUP(C8,'2nd Term'!B9:AN48,34,FALSE))+(VLOOKUP(C8,'2nd Term'!B9:AN48,35,FALSE))</f>
        <v>0</v>
      </c>
      <c r="J35" s="31">
        <f>(VLOOKUP($C$8,'1st Term'!$B$9:$AN$48,34,FALSE))+(VLOOKUP($C$8,'1st Term'!$B$9:$AN$48,35,FALSE))</f>
        <v>23</v>
      </c>
      <c r="K35" s="31">
        <f t="shared" si="2"/>
        <v>52</v>
      </c>
      <c r="L35" s="26">
        <f t="shared" si="0"/>
        <v>26</v>
      </c>
      <c r="M35" s="31" t="str">
        <f t="shared" si="3"/>
        <v>F</v>
      </c>
    </row>
    <row r="36" spans="1:13" x14ac:dyDescent="0.25">
      <c r="A36" s="20" t="s">
        <v>20</v>
      </c>
      <c r="B36" s="8"/>
      <c r="C36" s="8"/>
      <c r="D36" s="8"/>
      <c r="E36" s="8"/>
      <c r="F36" s="1">
        <f>VLOOKUP(C8,'3rd Term'!B9:AN48,36,FALSE)</f>
        <v>16</v>
      </c>
      <c r="G36" s="31">
        <f>VLOOKUP(C8,'3rd Term'!B9:AN48,37,FALSE)</f>
        <v>26</v>
      </c>
      <c r="H36" s="31">
        <f t="shared" si="1"/>
        <v>42</v>
      </c>
      <c r="I36" s="31">
        <f>(VLOOKUP(C8,'2nd Term'!B9:AN48,36,FALSE))+(VLOOKUP(C8,'2nd Term'!B9:AN48,37,FALSE))</f>
        <v>0</v>
      </c>
      <c r="J36" s="31">
        <f>(VLOOKUP($C$8,'1st Term'!$B$9:$AN$48,36,FALSE))+(VLOOKUP($C$8,'1st Term'!$B$9:$AN$48,37,FALSE))</f>
        <v>45</v>
      </c>
      <c r="K36" s="31">
        <f t="shared" si="2"/>
        <v>87</v>
      </c>
      <c r="L36" s="26">
        <f t="shared" si="0"/>
        <v>43.5</v>
      </c>
      <c r="M36" s="31" t="str">
        <f t="shared" si="3"/>
        <v>P</v>
      </c>
    </row>
    <row r="37" spans="1:13" x14ac:dyDescent="0.25">
      <c r="A37" s="18" t="s">
        <v>21</v>
      </c>
      <c r="B37" s="7"/>
      <c r="C37" s="7"/>
      <c r="D37" s="7"/>
      <c r="E37" s="7"/>
      <c r="F37" s="57">
        <f>VLOOKUP(C8,'3rd Term'!B9:AN48,38,FALSE)</f>
        <v>11</v>
      </c>
      <c r="G37" s="31">
        <f>VLOOKUP(C8,'3rd Term'!B9:AN48,39,FALSE)</f>
        <v>10</v>
      </c>
      <c r="H37" s="31">
        <f t="shared" si="1"/>
        <v>21</v>
      </c>
      <c r="I37" s="31">
        <f>(VLOOKUP(C8,'2nd Term'!B9:AN48,38,FALSE))+(VLOOKUP(C8,'2nd Term'!B9:AN48,39,FALSE))</f>
        <v>0</v>
      </c>
      <c r="J37" s="31">
        <f>(VLOOKUP($C$8,'1st Term'!$B$9:$AN$48,38,FALSE))+(VLOOKUP($C$8,'1st Term'!$B$9:$AN$48,39,FALSE))</f>
        <v>52</v>
      </c>
      <c r="K37" s="31">
        <f t="shared" si="2"/>
        <v>73</v>
      </c>
      <c r="L37" s="26">
        <f t="shared" si="0"/>
        <v>36.5</v>
      </c>
      <c r="M37" s="31" t="str">
        <f t="shared" si="3"/>
        <v>F</v>
      </c>
    </row>
    <row r="43" spans="1:13" x14ac:dyDescent="0.25">
      <c r="G43" s="110" t="s">
        <v>62</v>
      </c>
      <c r="H43" s="110"/>
      <c r="I43" s="110"/>
      <c r="J43" s="110"/>
      <c r="K43" s="110"/>
      <c r="L43" s="110"/>
      <c r="M43" s="110"/>
    </row>
    <row r="44" spans="1:13" x14ac:dyDescent="0.25">
      <c r="A44" s="77" t="s">
        <v>58</v>
      </c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</row>
    <row r="45" spans="1:13" ht="12.75" customHeight="1" x14ac:dyDescent="0.25">
      <c r="A45" s="50" t="str">
        <f>VLOOKUP(C8,comments!B8:X47,7,0)</f>
        <v>She is improving gradually but needs to participate more in class discussions.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</row>
    <row r="46" spans="1:13" x14ac:dyDescent="0.25">
      <c r="A46" s="50"/>
      <c r="B46" s="50"/>
      <c r="C46" s="50"/>
      <c r="D46" s="50"/>
      <c r="E46" s="50"/>
      <c r="F46" s="78"/>
      <c r="G46" s="78"/>
      <c r="H46" s="78"/>
      <c r="I46" s="78"/>
      <c r="J46" s="78"/>
      <c r="K46" s="78"/>
      <c r="L46" s="78"/>
      <c r="M46" s="78"/>
    </row>
    <row r="47" spans="1:13" x14ac:dyDescent="0.25">
      <c r="A47" s="79" t="s">
        <v>60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</row>
    <row r="48" spans="1:13" ht="12" customHeight="1" x14ac:dyDescent="0.25">
      <c r="A48" s="50" t="str">
        <f>VLOOKUP(C8,comments!B8:X47,14,0)</f>
        <v>Just fair. You can improve if only you will be more regular at school next term. Promoted to the Next Class.</v>
      </c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</row>
    <row r="49" spans="1:13" x14ac:dyDescent="0.25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</row>
    <row r="50" spans="1:13" x14ac:dyDescent="0.25">
      <c r="A50" s="79" t="s">
        <v>59</v>
      </c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</row>
    <row r="51" spans="1:13" ht="12" customHeight="1" x14ac:dyDescent="0.25">
      <c r="A51" s="78" t="s">
        <v>61</v>
      </c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</row>
  </sheetData>
  <sheetProtection algorithmName="SHA-512" hashValue="t2mvEAjAlSoYoM+Vfrg8pUqfjXjc9cbYxf0C41HqkfjKwz9k2KDYNM8aMArcrg7A8kuJP/SB4V4rf6ywQBcaMA==" saltValue="aadAwYxJZufylK21NTPtNw==" spinCount="100000" sheet="1" scenarios="1"/>
  <mergeCells count="13">
    <mergeCell ref="I14:I17"/>
    <mergeCell ref="A18:B18"/>
    <mergeCell ref="G43:M43"/>
    <mergeCell ref="B1:M2"/>
    <mergeCell ref="B3:M3"/>
    <mergeCell ref="B4:M4"/>
    <mergeCell ref="B5:M6"/>
    <mergeCell ref="K7:M12"/>
    <mergeCell ref="A8:B8"/>
    <mergeCell ref="A9:B9"/>
    <mergeCell ref="A10:B10"/>
    <mergeCell ref="A11:B11"/>
    <mergeCell ref="A12:B12"/>
  </mergeCells>
  <conditionalFormatting sqref="M19:M37">
    <cfRule type="cellIs" dxfId="54" priority="3" operator="equal">
      <formula>"F"</formula>
    </cfRule>
    <cfRule type="cellIs" dxfId="53" priority="4" operator="equal">
      <formula>"P"</formula>
    </cfRule>
    <cfRule type="cellIs" dxfId="52" priority="5" operator="equal">
      <formula>"C"</formula>
    </cfRule>
    <cfRule type="cellIs" dxfId="51" priority="6" operator="equal">
      <formula>"A"</formula>
    </cfRule>
  </conditionalFormatting>
  <conditionalFormatting sqref="F19:J37">
    <cfRule type="cellIs" dxfId="50" priority="1" operator="equal">
      <formula>0</formula>
    </cfRule>
    <cfRule type="colorScale" priority="2">
      <colorScale>
        <cfvo type="min"/>
        <cfvo type="num" val="0"/>
        <color rgb="FFFF7128"/>
        <color theme="0"/>
      </colorScale>
    </cfRule>
  </conditionalFormatting>
  <dataValidations count="1">
    <dataValidation type="list" allowBlank="1" showInputMessage="1" showErrorMessage="1" sqref="M14:M17" xr:uid="{9DB795C7-56E4-4DFC-8000-BF31615240B2}">
      <formula1>"A,B,C,D,E"</formula1>
    </dataValidation>
  </dataValidations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729D0-1601-4BE6-A376-7FEBFEAB5D61}">
  <sheetPr>
    <tabColor rgb="FF7030A0"/>
  </sheetPr>
  <dimension ref="A1:M51"/>
  <sheetViews>
    <sheetView workbookViewId="0">
      <selection activeCell="I8" sqref="I8"/>
    </sheetView>
  </sheetViews>
  <sheetFormatPr defaultRowHeight="15" x14ac:dyDescent="0.25"/>
  <cols>
    <col min="3" max="3" width="8.140625" customWidth="1"/>
    <col min="4" max="4" width="9.42578125" customWidth="1"/>
    <col min="5" max="5" width="10.5703125" customWidth="1"/>
    <col min="6" max="6" width="6.28515625" customWidth="1"/>
    <col min="7" max="8" width="5.85546875" customWidth="1"/>
    <col min="9" max="9" width="5.5703125" customWidth="1"/>
    <col min="10" max="11" width="5.28515625" customWidth="1"/>
    <col min="12" max="12" width="6.28515625" customWidth="1"/>
    <col min="13" max="13" width="5.7109375" customWidth="1"/>
  </cols>
  <sheetData>
    <row r="1" spans="1:13" ht="15" customHeight="1" x14ac:dyDescent="0.25">
      <c r="A1" s="10"/>
      <c r="B1" s="116" t="s">
        <v>185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</row>
    <row r="2" spans="1:13" ht="15" customHeight="1" x14ac:dyDescent="0.25">
      <c r="A2" s="10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</row>
    <row r="3" spans="1:13" ht="15.75" x14ac:dyDescent="0.25">
      <c r="A3" s="10"/>
      <c r="B3" s="117" t="s">
        <v>184</v>
      </c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</row>
    <row r="4" spans="1:13" ht="15.75" x14ac:dyDescent="0.25">
      <c r="A4" s="10"/>
      <c r="B4" s="118" t="s">
        <v>186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</row>
    <row r="5" spans="1:13" ht="15" customHeight="1" x14ac:dyDescent="0.25">
      <c r="A5" s="10"/>
      <c r="B5" s="119" t="s">
        <v>36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</row>
    <row r="6" spans="1:13" ht="15" customHeight="1" x14ac:dyDescent="0.25">
      <c r="A6" s="10"/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</row>
    <row r="7" spans="1:13" ht="15" customHeight="1" x14ac:dyDescent="0.25">
      <c r="I7" s="10"/>
      <c r="J7" s="10"/>
      <c r="K7" s="122" t="s">
        <v>105</v>
      </c>
      <c r="L7" s="122"/>
      <c r="M7" s="122"/>
    </row>
    <row r="8" spans="1:13" x14ac:dyDescent="0.25">
      <c r="A8" s="120" t="s">
        <v>37</v>
      </c>
      <c r="B8" s="120"/>
      <c r="C8" s="29" t="str">
        <f>('1st Term'!B21)</f>
        <v>JOEL JOSHUA</v>
      </c>
      <c r="D8" s="8"/>
      <c r="E8" s="8"/>
      <c r="F8" s="8"/>
      <c r="G8" s="8"/>
      <c r="H8" s="9"/>
      <c r="I8" s="10"/>
      <c r="J8" s="10"/>
      <c r="K8" s="122"/>
      <c r="L8" s="122"/>
      <c r="M8" s="122"/>
    </row>
    <row r="9" spans="1:13" x14ac:dyDescent="0.25">
      <c r="A9" s="121" t="s">
        <v>38</v>
      </c>
      <c r="B9" s="115"/>
      <c r="C9" s="29" t="str">
        <f>('1st Term'!B7)</f>
        <v>JSS 1A</v>
      </c>
      <c r="D9" s="8"/>
      <c r="E9" s="8"/>
      <c r="F9" s="8"/>
      <c r="G9" s="8"/>
      <c r="H9" s="9"/>
      <c r="I9" s="10"/>
      <c r="J9" s="10"/>
      <c r="K9" s="122"/>
      <c r="L9" s="122"/>
      <c r="M9" s="122"/>
    </row>
    <row r="10" spans="1:13" x14ac:dyDescent="0.25">
      <c r="A10" s="121" t="s">
        <v>39</v>
      </c>
      <c r="B10" s="115"/>
      <c r="C10" s="29" t="str">
        <f>(comments!C4)</f>
        <v>2025/2026</v>
      </c>
      <c r="D10" s="8"/>
      <c r="E10" s="8"/>
      <c r="F10" s="43"/>
      <c r="G10" s="43"/>
      <c r="H10" s="9"/>
      <c r="I10" s="10"/>
      <c r="J10" s="10"/>
      <c r="K10" s="122"/>
      <c r="L10" s="122"/>
      <c r="M10" s="122"/>
    </row>
    <row r="11" spans="1:13" x14ac:dyDescent="0.25">
      <c r="A11" s="121" t="s">
        <v>40</v>
      </c>
      <c r="B11" s="115"/>
      <c r="C11" s="30" t="str">
        <f>(comments!B5)</f>
        <v>THIRD TERM</v>
      </c>
      <c r="D11" s="7"/>
      <c r="E11" s="7"/>
      <c r="F11" s="13" t="s">
        <v>167</v>
      </c>
      <c r="G11" s="8"/>
      <c r="H11" s="53">
        <f>INDEX(comments!D8:D47,MATCH(sheet13!C8,comments!B8:B47,0))</f>
        <v>48.372549019607845</v>
      </c>
      <c r="I11" s="10"/>
      <c r="J11" s="10"/>
      <c r="K11" s="122"/>
      <c r="L11" s="122"/>
      <c r="M11" s="122"/>
    </row>
    <row r="12" spans="1:13" x14ac:dyDescent="0.25">
      <c r="A12" s="114" t="s">
        <v>41</v>
      </c>
      <c r="B12" s="115"/>
      <c r="C12" s="30" t="str">
        <f>(comments!E6)</f>
        <v>20TH APRIL 2026</v>
      </c>
      <c r="D12" s="7"/>
      <c r="E12" s="7"/>
      <c r="F12" s="13" t="s">
        <v>44</v>
      </c>
      <c r="G12" s="8"/>
      <c r="H12" s="51" t="str">
        <f>INDEX(comments!E8:E47,MATCH(sheet13!C8,comments!B8:B47,0))</f>
        <v>16th</v>
      </c>
      <c r="I12" s="10"/>
      <c r="J12" s="10"/>
      <c r="K12" s="123"/>
      <c r="L12" s="123"/>
      <c r="M12" s="123"/>
    </row>
    <row r="13" spans="1:13" x14ac:dyDescent="0.25">
      <c r="A13" s="48"/>
      <c r="B13" s="49"/>
      <c r="C13" s="50"/>
      <c r="F13" s="25"/>
      <c r="H13" s="52"/>
      <c r="I13" s="10"/>
      <c r="J13" s="10"/>
      <c r="K13" s="54"/>
      <c r="L13" s="54"/>
      <c r="M13" s="54"/>
    </row>
    <row r="14" spans="1:13" ht="16.5" customHeight="1" x14ac:dyDescent="0.25">
      <c r="A14" s="16" t="s">
        <v>48</v>
      </c>
      <c r="B14" s="8"/>
      <c r="C14" s="8"/>
      <c r="D14" s="13" t="s">
        <v>49</v>
      </c>
      <c r="E14" s="8"/>
      <c r="F14" s="8"/>
      <c r="G14" s="8"/>
      <c r="H14" s="15"/>
      <c r="I14" s="113" t="s">
        <v>50</v>
      </c>
      <c r="J14" s="45" t="s">
        <v>32</v>
      </c>
      <c r="K14" s="44"/>
      <c r="L14" s="17"/>
      <c r="M14" s="44" t="s">
        <v>52</v>
      </c>
    </row>
    <row r="15" spans="1:13" ht="21" customHeight="1" x14ac:dyDescent="0.25">
      <c r="A15" s="11" t="s">
        <v>46</v>
      </c>
      <c r="B15" s="7"/>
      <c r="C15" s="7"/>
      <c r="D15" s="55">
        <f>(comments!C6)</f>
        <v>110</v>
      </c>
      <c r="E15" s="8"/>
      <c r="F15" s="8"/>
      <c r="G15" s="8"/>
      <c r="H15" s="14"/>
      <c r="I15" s="113"/>
      <c r="J15" s="45" t="s">
        <v>33</v>
      </c>
      <c r="K15" s="44"/>
      <c r="L15" s="17"/>
      <c r="M15" s="44" t="s">
        <v>51</v>
      </c>
    </row>
    <row r="16" spans="1:13" ht="18.75" customHeight="1" x14ac:dyDescent="0.25">
      <c r="A16" s="12" t="s">
        <v>47</v>
      </c>
      <c r="B16" s="8"/>
      <c r="C16" s="8"/>
      <c r="D16" s="56">
        <f>VLOOKUP(C8,comments!B8:C47,2,FALSE)</f>
        <v>0</v>
      </c>
      <c r="E16" s="8"/>
      <c r="F16" s="8"/>
      <c r="G16" s="8"/>
      <c r="H16" s="14"/>
      <c r="I16" s="113"/>
      <c r="J16" s="45" t="s">
        <v>34</v>
      </c>
      <c r="K16" s="44"/>
      <c r="L16" s="17"/>
      <c r="M16" s="44" t="s">
        <v>51</v>
      </c>
    </row>
    <row r="17" spans="1:13" ht="17.25" customHeight="1" x14ac:dyDescent="0.25">
      <c r="A17" s="11" t="s">
        <v>45</v>
      </c>
      <c r="B17" s="7"/>
      <c r="C17" s="7"/>
      <c r="D17" s="56">
        <f>(comments!D6)</f>
        <v>22</v>
      </c>
      <c r="E17" s="8"/>
      <c r="F17" s="8"/>
      <c r="G17" s="8"/>
      <c r="H17" s="14"/>
      <c r="I17" s="113"/>
      <c r="J17" s="47" t="s">
        <v>35</v>
      </c>
      <c r="K17" s="46"/>
      <c r="L17" s="40"/>
      <c r="M17" s="44" t="s">
        <v>52</v>
      </c>
    </row>
    <row r="18" spans="1:13" ht="61.5" customHeight="1" x14ac:dyDescent="0.25">
      <c r="A18" s="111" t="s">
        <v>53</v>
      </c>
      <c r="B18" s="112"/>
      <c r="C18" s="19"/>
      <c r="D18" s="19"/>
      <c r="E18" s="19"/>
      <c r="F18" s="41" t="s">
        <v>172</v>
      </c>
      <c r="G18" s="41" t="s">
        <v>171</v>
      </c>
      <c r="H18" s="41" t="s">
        <v>173</v>
      </c>
      <c r="I18" s="42" t="s">
        <v>174</v>
      </c>
      <c r="J18" s="42" t="s">
        <v>175</v>
      </c>
      <c r="K18" s="41" t="s">
        <v>165</v>
      </c>
      <c r="L18" s="41" t="s">
        <v>166</v>
      </c>
      <c r="M18" s="41" t="s">
        <v>54</v>
      </c>
    </row>
    <row r="19" spans="1:13" ht="15" customHeight="1" x14ac:dyDescent="0.25">
      <c r="A19" s="20" t="s">
        <v>6</v>
      </c>
      <c r="B19" s="8"/>
      <c r="C19" s="8"/>
      <c r="D19" s="8"/>
      <c r="E19" s="8"/>
      <c r="F19" s="31">
        <f>VLOOKUP(C8,'3rd Term'!B9:AN48,2,FALSE)</f>
        <v>19</v>
      </c>
      <c r="G19" s="31">
        <f>VLOOKUP(C8,'3rd Term'!B9:AN48,3,FALSE)</f>
        <v>25</v>
      </c>
      <c r="H19" s="31">
        <f>SUM(F19:G19)</f>
        <v>44</v>
      </c>
      <c r="I19" s="5">
        <f>(VLOOKUP(C8,'2nd Term'!B9:AN48,2,FALSE))+(VLOOKUP(C8,'2nd Term'!B9:AN48,3,FALSE))</f>
        <v>64</v>
      </c>
      <c r="J19" s="31">
        <f>(VLOOKUP($C$8,'1st Term'!$B$9:$AN$48,2,FALSE))+(VLOOKUP($C$8,'1st Term'!$B$9:$AN$48,3,FALSE))</f>
        <v>64</v>
      </c>
      <c r="K19" s="31">
        <f>IF(SUM(H19:J19)=0,"-",SUM(H19:J19))</f>
        <v>172</v>
      </c>
      <c r="L19" s="26">
        <f t="shared" ref="L19:L37" si="0">IFERROR(((H19)+(I19)+(J19))/((--(H19&gt;0))+(--(I19&gt;0))+(--(J19&gt;0))),"-")</f>
        <v>57.333333333333336</v>
      </c>
      <c r="M19" s="31" t="str">
        <f>IF(L19="-","-",IF(L19&gt;=70,"A",IF(L19&gt;=50,"C",IF(L19&gt;=40,"P","F"))))</f>
        <v>C</v>
      </c>
    </row>
    <row r="20" spans="1:13" ht="15" customHeight="1" x14ac:dyDescent="0.25">
      <c r="A20" s="20" t="s">
        <v>3</v>
      </c>
      <c r="B20" s="8"/>
      <c r="C20" s="8"/>
      <c r="D20" s="8"/>
      <c r="E20" s="8"/>
      <c r="F20" s="1">
        <f>VLOOKUP(C8,'3rd Term'!B9:AN48,4,FALSE)</f>
        <v>16</v>
      </c>
      <c r="G20" s="31">
        <f>VLOOKUP(C8,'3rd Term'!B9:AN48,5,FALSE)</f>
        <v>13</v>
      </c>
      <c r="H20" s="31">
        <f t="shared" ref="H20:H37" si="1">SUM(F20:G20)</f>
        <v>29</v>
      </c>
      <c r="I20" s="31">
        <f>(VLOOKUP(C8,'2nd Term'!B9:AN48,4,FALSE))+(VLOOKUP(C8,'2nd Term'!B9:AN48,5,FALSE))</f>
        <v>75</v>
      </c>
      <c r="J20" s="31">
        <f>(VLOOKUP($C$8,'1st Term'!$B$9:$AN$48,4,FALSE))+(VLOOKUP($C$8,'1st Term'!$B$9:$AN$48,5,FALSE))</f>
        <v>59</v>
      </c>
      <c r="K20" s="31">
        <f t="shared" ref="K20:K37" si="2">IF(SUM(H20:J20)=0,"-",SUM(H20:J20))</f>
        <v>163</v>
      </c>
      <c r="L20" s="26">
        <f t="shared" si="0"/>
        <v>54.333333333333336</v>
      </c>
      <c r="M20" s="31" t="str">
        <f t="shared" ref="M20:M37" si="3">IF(L20="-","-",IF(L20&gt;=70,"A",IF(L20&gt;=50,"C",IF(L20&gt;=40,"P","F"))))</f>
        <v>C</v>
      </c>
    </row>
    <row r="21" spans="1:13" ht="15" customHeight="1" x14ac:dyDescent="0.25">
      <c r="A21" s="20" t="s">
        <v>4</v>
      </c>
      <c r="B21" s="8"/>
      <c r="C21" s="8"/>
      <c r="D21" s="8"/>
      <c r="E21" s="8"/>
      <c r="F21" s="1">
        <f>VLOOKUP(C8,'3rd Term'!B9:AN48,6,FALSE)</f>
        <v>18</v>
      </c>
      <c r="G21" s="31">
        <f>VLOOKUP(C8,'3rd Term'!B9:AN48,7,FALSE)</f>
        <v>23</v>
      </c>
      <c r="H21" s="31">
        <f t="shared" si="1"/>
        <v>41</v>
      </c>
      <c r="I21" s="31">
        <f>(VLOOKUP(C8,'2nd Term'!B9:AN48,6,FALSE))+(VLOOKUP(C8,'2nd Term'!B9:AN48,7,FALSE))</f>
        <v>73</v>
      </c>
      <c r="J21" s="31">
        <f>(VLOOKUP($C$8,'1st Term'!$B$9:$AN$48,6,FALSE))+(VLOOKUP($C$8,'1st Term'!$B$9:$AN$48,7,FALSE))</f>
        <v>41</v>
      </c>
      <c r="K21" s="31">
        <f t="shared" si="2"/>
        <v>155</v>
      </c>
      <c r="L21" s="26">
        <f t="shared" si="0"/>
        <v>51.666666666666664</v>
      </c>
      <c r="M21" s="31" t="str">
        <f t="shared" si="3"/>
        <v>C</v>
      </c>
    </row>
    <row r="22" spans="1:13" ht="15" customHeight="1" x14ac:dyDescent="0.25">
      <c r="A22" s="20" t="s">
        <v>5</v>
      </c>
      <c r="B22" s="8"/>
      <c r="C22" s="8"/>
      <c r="D22" s="8"/>
      <c r="E22" s="8"/>
      <c r="F22" s="1">
        <f>VLOOKUP(C8,'3rd Term'!B9:AN48,8,FALSE)</f>
        <v>20</v>
      </c>
      <c r="G22" s="31">
        <f>VLOOKUP(C8,'3rd Term'!B9:AN48,9,FALSE)</f>
        <v>21</v>
      </c>
      <c r="H22" s="31">
        <f t="shared" si="1"/>
        <v>41</v>
      </c>
      <c r="I22" s="31">
        <f>(VLOOKUP(C8,'2nd Term'!B9:AN48,8,FALSE))+(VLOOKUP(C8,'2nd Term'!B9:AN48,9,FALSE))</f>
        <v>37</v>
      </c>
      <c r="J22" s="31">
        <f>(VLOOKUP($C$8,'1st Term'!$B$9:$AN$48,8,FALSE))+(VLOOKUP($C$8,'1st Term'!$B$9:$AN$48,9,FALSE))</f>
        <v>49</v>
      </c>
      <c r="K22" s="31">
        <f t="shared" si="2"/>
        <v>127</v>
      </c>
      <c r="L22" s="26">
        <f t="shared" si="0"/>
        <v>42.333333333333336</v>
      </c>
      <c r="M22" s="31" t="str">
        <f t="shared" si="3"/>
        <v>P</v>
      </c>
    </row>
    <row r="23" spans="1:13" ht="15" customHeight="1" x14ac:dyDescent="0.25">
      <c r="A23" s="20" t="s">
        <v>7</v>
      </c>
      <c r="B23" s="8"/>
      <c r="C23" s="8"/>
      <c r="D23" s="8"/>
      <c r="E23" s="8"/>
      <c r="F23" s="1">
        <f>VLOOKUP(C8,'3rd Term'!B9:AN48,10,FALSE)</f>
        <v>16</v>
      </c>
      <c r="G23" s="31">
        <f>VLOOKUP(C8,'3rd Term'!B9:AN48,11,FALSE)</f>
        <v>30</v>
      </c>
      <c r="H23" s="31">
        <f t="shared" si="1"/>
        <v>46</v>
      </c>
      <c r="I23" s="31">
        <f>(VLOOKUP(C8,'2nd Term'!B9:AN48,10,FALSE))+(VLOOKUP(C8,'2nd Term'!B9:AN48,11,FALSE))</f>
        <v>49</v>
      </c>
      <c r="J23" s="31">
        <f>(VLOOKUP($C$8,'1st Term'!$B$9:$AN$48,10,FALSE))+(VLOOKUP($C$8,'1st Term'!$B$9:$AN$48,11,FALSE))</f>
        <v>82</v>
      </c>
      <c r="K23" s="31">
        <f t="shared" si="2"/>
        <v>177</v>
      </c>
      <c r="L23" s="26">
        <f t="shared" si="0"/>
        <v>59</v>
      </c>
      <c r="M23" s="31" t="str">
        <f t="shared" si="3"/>
        <v>C</v>
      </c>
    </row>
    <row r="24" spans="1:13" ht="15" customHeight="1" x14ac:dyDescent="0.25">
      <c r="A24" s="20" t="s">
        <v>8</v>
      </c>
      <c r="B24" s="8"/>
      <c r="C24" s="8"/>
      <c r="D24" s="8"/>
      <c r="E24" s="8"/>
      <c r="F24" s="1">
        <f>VLOOKUP(C8,'3rd Term'!B9:AN48,12,FALSE)</f>
        <v>12</v>
      </c>
      <c r="G24" s="31">
        <f>VLOOKUP(C8,'3rd Term'!B9:AN48,13,FALSE)</f>
        <v>34</v>
      </c>
      <c r="H24" s="31">
        <f t="shared" si="1"/>
        <v>46</v>
      </c>
      <c r="I24" s="31">
        <f>(VLOOKUP(C8,'2nd Term'!B9:AN48,12,FALSE))+(VLOOKUP(C8,'2nd Term'!B9:AN48,13,FALSE))</f>
        <v>35</v>
      </c>
      <c r="J24" s="31">
        <f>(VLOOKUP($C$8,'1st Term'!$B$9:$AN$48,12,FALSE))+(VLOOKUP($C$8,'1st Term'!$B$9:$AN$48,13,FALSE))</f>
        <v>32</v>
      </c>
      <c r="K24" s="31">
        <f t="shared" si="2"/>
        <v>113</v>
      </c>
      <c r="L24" s="26">
        <f t="shared" si="0"/>
        <v>37.666666666666664</v>
      </c>
      <c r="M24" s="31" t="str">
        <f t="shared" si="3"/>
        <v>F</v>
      </c>
    </row>
    <row r="25" spans="1:13" ht="15" customHeight="1" x14ac:dyDescent="0.25">
      <c r="A25" s="20" t="s">
        <v>9</v>
      </c>
      <c r="B25" s="8"/>
      <c r="C25" s="8"/>
      <c r="D25" s="8"/>
      <c r="E25" s="8"/>
      <c r="F25" s="1">
        <f>VLOOKUP(C8,'3rd Term'!B9:AN48,14,FALSE)</f>
        <v>21</v>
      </c>
      <c r="G25" s="31">
        <f>VLOOKUP(C8,'3rd Term'!B9:AN48,15,FALSE)</f>
        <v>22</v>
      </c>
      <c r="H25" s="31">
        <f t="shared" si="1"/>
        <v>43</v>
      </c>
      <c r="I25" s="31">
        <f>(VLOOKUP(C8,'2nd Term'!B9:AN48,14,FALSE))+(VLOOKUP(C8,'2nd Term'!B9:AN48,15,FALSE))</f>
        <v>58</v>
      </c>
      <c r="J25" s="31">
        <f>(VLOOKUP($C$8,'1st Term'!$B$9:$AN$48,14,FALSE))+(VLOOKUP($C$8,'1st Term'!$B$9:$AN$48,15,FALSE))</f>
        <v>65</v>
      </c>
      <c r="K25" s="31">
        <f t="shared" si="2"/>
        <v>166</v>
      </c>
      <c r="L25" s="26">
        <f t="shared" si="0"/>
        <v>55.333333333333336</v>
      </c>
      <c r="M25" s="31" t="str">
        <f t="shared" si="3"/>
        <v>C</v>
      </c>
    </row>
    <row r="26" spans="1:13" ht="15" customHeight="1" x14ac:dyDescent="0.25">
      <c r="A26" s="20" t="s">
        <v>10</v>
      </c>
      <c r="B26" s="8"/>
      <c r="C26" s="8"/>
      <c r="D26" s="8"/>
      <c r="E26" s="8"/>
      <c r="F26" s="1">
        <f>VLOOKUP(C8,'3rd Term'!B9:AN48,16,FALSE)</f>
        <v>21</v>
      </c>
      <c r="G26" s="31">
        <f>VLOOKUP(C8,'3rd Term'!B9:AN48,17,FALSE)</f>
        <v>38</v>
      </c>
      <c r="H26" s="31">
        <f t="shared" si="1"/>
        <v>59</v>
      </c>
      <c r="I26" s="31">
        <f>(VLOOKUP(C8,'2nd Term'!B9:AN48,16,FALSE))+(VLOOKUP(C8,'2nd Term'!B9:AN48,17,FALSE))</f>
        <v>66</v>
      </c>
      <c r="J26" s="31">
        <f>(VLOOKUP($C$8,'1st Term'!$B$9:$AN$48,16,FALSE))+(VLOOKUP($C$8,'1st Term'!$B$9:$AN$48,17,FALSE))</f>
        <v>32</v>
      </c>
      <c r="K26" s="31">
        <f t="shared" si="2"/>
        <v>157</v>
      </c>
      <c r="L26" s="26">
        <f t="shared" si="0"/>
        <v>52.333333333333336</v>
      </c>
      <c r="M26" s="31" t="str">
        <f t="shared" si="3"/>
        <v>C</v>
      </c>
    </row>
    <row r="27" spans="1:13" ht="15" hidden="1" customHeight="1" x14ac:dyDescent="0.25">
      <c r="A27" s="20" t="s">
        <v>11</v>
      </c>
      <c r="B27" s="8"/>
      <c r="C27" s="8"/>
      <c r="D27" s="8"/>
      <c r="E27" s="8"/>
      <c r="F27" s="1">
        <f>VLOOKUP(C8,'3rd Term'!B9:AN48,18,FALSE)</f>
        <v>0</v>
      </c>
      <c r="G27" s="31">
        <f>VLOOKUP(C8,'3rd Term'!B9:AN48,19,FALSE)</f>
        <v>0</v>
      </c>
      <c r="H27" s="31">
        <f t="shared" si="1"/>
        <v>0</v>
      </c>
      <c r="I27" s="31">
        <f>(VLOOKUP(C8,'2nd Term'!B9:AN48,18,FALSE))+(VLOOKUP(C8,'2nd Term'!B9:AN48,19,FALSE))</f>
        <v>0</v>
      </c>
      <c r="J27" s="31">
        <f>(VLOOKUP($C$8,'1st Term'!$B$9:$AN$48,18,FALSE))+(VLOOKUP($C$8,'1st Term'!$B$9:$AN$48,19,FALSE))</f>
        <v>0</v>
      </c>
      <c r="K27" s="31" t="str">
        <f t="shared" si="2"/>
        <v>-</v>
      </c>
      <c r="L27" s="26" t="str">
        <f t="shared" si="0"/>
        <v>-</v>
      </c>
      <c r="M27" s="31" t="str">
        <f t="shared" si="3"/>
        <v>-</v>
      </c>
    </row>
    <row r="28" spans="1:13" ht="15" customHeight="1" x14ac:dyDescent="0.25">
      <c r="A28" s="20" t="s">
        <v>13</v>
      </c>
      <c r="B28" s="8"/>
      <c r="C28" s="8"/>
      <c r="D28" s="8"/>
      <c r="E28" s="8"/>
      <c r="F28" s="1">
        <f>VLOOKUP(C8,'3rd Term'!B9:AN48,20,FALSE)</f>
        <v>14</v>
      </c>
      <c r="G28" s="31">
        <f>VLOOKUP(C8,'3rd Term'!B9:AN48,21,FALSE)</f>
        <v>35</v>
      </c>
      <c r="H28" s="31">
        <f t="shared" si="1"/>
        <v>49</v>
      </c>
      <c r="I28" s="31">
        <f>(VLOOKUP(C8,'2nd Term'!B9:AN48,20,FALSE))+(VLOOKUP(C8,'2nd Term'!B9:AN48,21,FALSE))</f>
        <v>70</v>
      </c>
      <c r="J28" s="31">
        <f>(VLOOKUP($C$8,'1st Term'!$B$9:$AN$48,20,FALSE))+(VLOOKUP($C$8,'1st Term'!$B$9:$AN$48,21,FALSE))</f>
        <v>40</v>
      </c>
      <c r="K28" s="31">
        <f t="shared" si="2"/>
        <v>159</v>
      </c>
      <c r="L28" s="26">
        <f t="shared" si="0"/>
        <v>53</v>
      </c>
      <c r="M28" s="31" t="str">
        <f t="shared" si="3"/>
        <v>C</v>
      </c>
    </row>
    <row r="29" spans="1:13" x14ac:dyDescent="0.25">
      <c r="A29" s="20" t="s">
        <v>14</v>
      </c>
      <c r="B29" s="8"/>
      <c r="C29" s="8"/>
      <c r="D29" s="8"/>
      <c r="E29" s="8"/>
      <c r="F29" s="1">
        <f>VLOOKUP(C8,'3rd Term'!B9:AN48,22,FALSE)</f>
        <v>17</v>
      </c>
      <c r="G29" s="31">
        <f>VLOOKUP(C8,'3rd Term'!B9:AN48,23,FALSE)</f>
        <v>23</v>
      </c>
      <c r="H29" s="31">
        <f t="shared" si="1"/>
        <v>40</v>
      </c>
      <c r="I29" s="31">
        <f>(VLOOKUP(C8,'2nd Term'!B9:AN48,22,FALSE))+(VLOOKUP(C8,'2nd Term'!B9:AN48,23,FALSE))</f>
        <v>55</v>
      </c>
      <c r="J29" s="31">
        <f>(VLOOKUP($C$8,'1st Term'!$B$9:$AN$48,22,FALSE))+(VLOOKUP($C$8,'1st Term'!$B$9:$AN$48,23,FALSE))</f>
        <v>58</v>
      </c>
      <c r="K29" s="31">
        <f t="shared" si="2"/>
        <v>153</v>
      </c>
      <c r="L29" s="26">
        <f t="shared" si="0"/>
        <v>51</v>
      </c>
      <c r="M29" s="31" t="str">
        <f t="shared" si="3"/>
        <v>C</v>
      </c>
    </row>
    <row r="30" spans="1:13" x14ac:dyDescent="0.25">
      <c r="A30" s="20" t="s">
        <v>15</v>
      </c>
      <c r="B30" s="8"/>
      <c r="C30" s="8"/>
      <c r="D30" s="8"/>
      <c r="E30" s="8"/>
      <c r="F30" s="1">
        <f>VLOOKUP(C8,'3rd Term'!B9:AN48,24,FALSE)</f>
        <v>28</v>
      </c>
      <c r="G30" s="31">
        <f>VLOOKUP(C8,'3rd Term'!B9:AN48,25,FALSE)</f>
        <v>23</v>
      </c>
      <c r="H30" s="31">
        <f t="shared" si="1"/>
        <v>51</v>
      </c>
      <c r="I30" s="31">
        <f>(VLOOKUP(C8,'2nd Term'!B9:AN48,24,FALSE))+(VLOOKUP(C8,'2nd Term'!B9:AN48,25,FALSE))</f>
        <v>50</v>
      </c>
      <c r="J30" s="31">
        <f>(VLOOKUP($C$8,'1st Term'!$B$9:$AN$48,24,FALSE))+(VLOOKUP($C$8,'1st Term'!$B$9:$AN$48,25,FALSE))</f>
        <v>60</v>
      </c>
      <c r="K30" s="31">
        <f t="shared" si="2"/>
        <v>161</v>
      </c>
      <c r="L30" s="26">
        <f t="shared" si="0"/>
        <v>53.666666666666664</v>
      </c>
      <c r="M30" s="31" t="str">
        <f t="shared" si="3"/>
        <v>C</v>
      </c>
    </row>
    <row r="31" spans="1:13" hidden="1" x14ac:dyDescent="0.25">
      <c r="A31" s="20" t="s">
        <v>22</v>
      </c>
      <c r="B31" s="8"/>
      <c r="C31" s="8"/>
      <c r="D31" s="8"/>
      <c r="E31" s="8"/>
      <c r="F31" s="1">
        <f>VLOOKUP(C8,'3rd Term'!B9:AN48,26,FALSE)</f>
        <v>0</v>
      </c>
      <c r="G31" s="31">
        <f>VLOOKUP(C8,'3rd Term'!B9:AN48,27,FALSE)</f>
        <v>0</v>
      </c>
      <c r="H31" s="31">
        <f t="shared" si="1"/>
        <v>0</v>
      </c>
      <c r="I31" s="31">
        <f>(VLOOKUP(C8,'2nd Term'!B9:AN48,26,FALSE))+(VLOOKUP(C8,'2nd Term'!B9:AN48,27,FALSE))</f>
        <v>0</v>
      </c>
      <c r="J31" s="31">
        <f>(VLOOKUP($C$8,'1st Term'!$B$9:$AN$48,26,FALSE))+(VLOOKUP($C$8,'1st Term'!$B$9:$AN$48,27,FALSE))</f>
        <v>0</v>
      </c>
      <c r="K31" s="31" t="str">
        <f t="shared" si="2"/>
        <v>-</v>
      </c>
      <c r="L31" s="26" t="str">
        <f t="shared" si="0"/>
        <v>-</v>
      </c>
      <c r="M31" s="31" t="str">
        <f t="shared" si="3"/>
        <v>-</v>
      </c>
    </row>
    <row r="32" spans="1:13" x14ac:dyDescent="0.25">
      <c r="A32" s="20" t="s">
        <v>16</v>
      </c>
      <c r="B32" s="8"/>
      <c r="C32" s="8"/>
      <c r="D32" s="8"/>
      <c r="E32" s="8"/>
      <c r="F32" s="1">
        <f>VLOOKUP(C8,'3rd Term'!B9:AN48,28,FALSE)</f>
        <v>12</v>
      </c>
      <c r="G32" s="31">
        <f>VLOOKUP(C8,'3rd Term'!B9:AN48,29,FALSE)</f>
        <v>10</v>
      </c>
      <c r="H32" s="31">
        <f t="shared" si="1"/>
        <v>22</v>
      </c>
      <c r="I32" s="31">
        <f>(VLOOKUP(C8,'2nd Term'!B9:AN48,28,FALSE))+(VLOOKUP(C8,'2nd Term'!B9:AN48,29,FALSE))</f>
        <v>44</v>
      </c>
      <c r="J32" s="31">
        <f>(VLOOKUP($C$8,'1st Term'!$B$9:$AN$48,28,FALSE))+(VLOOKUP($C$8,'1st Term'!$B$9:$AN$48,29,FALSE))</f>
        <v>53</v>
      </c>
      <c r="K32" s="31">
        <f t="shared" si="2"/>
        <v>119</v>
      </c>
      <c r="L32" s="26">
        <f t="shared" si="0"/>
        <v>39.666666666666664</v>
      </c>
      <c r="M32" s="31" t="str">
        <f t="shared" si="3"/>
        <v>F</v>
      </c>
    </row>
    <row r="33" spans="1:13" x14ac:dyDescent="0.25">
      <c r="A33" s="20" t="s">
        <v>17</v>
      </c>
      <c r="B33" s="8"/>
      <c r="C33" s="8"/>
      <c r="D33" s="8"/>
      <c r="E33" s="8"/>
      <c r="F33" s="1">
        <f>VLOOKUP(C8,'3rd Term'!B9:AN48,30,FALSE)</f>
        <v>30</v>
      </c>
      <c r="G33" s="31">
        <f>VLOOKUP(C8,'3rd Term'!B9:AN48,31,FALSE)</f>
        <v>12</v>
      </c>
      <c r="H33" s="31">
        <f t="shared" si="1"/>
        <v>42</v>
      </c>
      <c r="I33" s="31">
        <f>(VLOOKUP(C8,'2nd Term'!B9:AN48,30,FALSE))+(VLOOKUP(C8,'2nd Term'!B9:AN48,31,FALSE))</f>
        <v>36</v>
      </c>
      <c r="J33" s="31">
        <f>(VLOOKUP($C$8,'1st Term'!$B$9:$AN$48,30,FALSE))+(VLOOKUP($C$8,'1st Term'!$B$9:$AN$48,31,FALSE))</f>
        <v>54</v>
      </c>
      <c r="K33" s="31">
        <f t="shared" si="2"/>
        <v>132</v>
      </c>
      <c r="L33" s="26">
        <f t="shared" si="0"/>
        <v>44</v>
      </c>
      <c r="M33" s="31" t="str">
        <f t="shared" si="3"/>
        <v>P</v>
      </c>
    </row>
    <row r="34" spans="1:13" x14ac:dyDescent="0.25">
      <c r="A34" s="20" t="s">
        <v>18</v>
      </c>
      <c r="B34" s="8"/>
      <c r="C34" s="8"/>
      <c r="D34" s="8"/>
      <c r="E34" s="8"/>
      <c r="F34" s="1">
        <f>VLOOKUP(C8,'3rd Term'!B9:AN48,32,FALSE)</f>
        <v>21</v>
      </c>
      <c r="G34" s="31">
        <f>VLOOKUP(C8,'3rd Term'!B9:AN48,33,FALSE)</f>
        <v>14</v>
      </c>
      <c r="H34" s="31">
        <f t="shared" si="1"/>
        <v>35</v>
      </c>
      <c r="I34" s="31">
        <f>(VLOOKUP(C8,'2nd Term'!B9:AN48,32,FALSE))+(VLOOKUP(C8,'2nd Term'!B9:AN48,33,FALSE))</f>
        <v>51</v>
      </c>
      <c r="J34" s="31">
        <f>(VLOOKUP($C$8,'1st Term'!$B$9:$AN$48,32,FALSE))+(VLOOKUP($C$8,'1st Term'!$B$9:$AN$48,33,FALSE))</f>
        <v>51</v>
      </c>
      <c r="K34" s="31">
        <f t="shared" si="2"/>
        <v>137</v>
      </c>
      <c r="L34" s="26">
        <f t="shared" si="0"/>
        <v>45.666666666666664</v>
      </c>
      <c r="M34" s="31" t="str">
        <f t="shared" si="3"/>
        <v>P</v>
      </c>
    </row>
    <row r="35" spans="1:13" x14ac:dyDescent="0.25">
      <c r="A35" s="20" t="s">
        <v>19</v>
      </c>
      <c r="B35" s="8"/>
      <c r="C35" s="8"/>
      <c r="D35" s="8"/>
      <c r="E35" s="8"/>
      <c r="F35" s="1">
        <f>VLOOKUP(C8,'3rd Term'!B9:AN48,34,FALSE)</f>
        <v>16</v>
      </c>
      <c r="G35" s="31">
        <f>VLOOKUP(C8,'3rd Term'!B9:AN48,35,FALSE)</f>
        <v>13</v>
      </c>
      <c r="H35" s="31">
        <f t="shared" si="1"/>
        <v>29</v>
      </c>
      <c r="I35" s="31">
        <f>(VLOOKUP(C8,'2nd Term'!B9:AN48,34,FALSE))+(VLOOKUP(C8,'2nd Term'!B9:AN48,35,FALSE))</f>
        <v>59</v>
      </c>
      <c r="J35" s="31">
        <f>(VLOOKUP($C$8,'1st Term'!$B$9:$AN$48,34,FALSE))+(VLOOKUP($C$8,'1st Term'!$B$9:$AN$48,35,FALSE))</f>
        <v>31</v>
      </c>
      <c r="K35" s="31">
        <f t="shared" si="2"/>
        <v>119</v>
      </c>
      <c r="L35" s="26">
        <f t="shared" si="0"/>
        <v>39.666666666666664</v>
      </c>
      <c r="M35" s="31" t="str">
        <f t="shared" si="3"/>
        <v>F</v>
      </c>
    </row>
    <row r="36" spans="1:13" x14ac:dyDescent="0.25">
      <c r="A36" s="20" t="s">
        <v>20</v>
      </c>
      <c r="B36" s="8"/>
      <c r="C36" s="8"/>
      <c r="D36" s="8"/>
      <c r="E36" s="8"/>
      <c r="F36" s="1">
        <f>VLOOKUP(C8,'3rd Term'!B9:AN48,36,FALSE)</f>
        <v>14</v>
      </c>
      <c r="G36" s="31">
        <f>VLOOKUP(C8,'3rd Term'!B9:AN48,37,FALSE)</f>
        <v>25</v>
      </c>
      <c r="H36" s="31">
        <f t="shared" si="1"/>
        <v>39</v>
      </c>
      <c r="I36" s="31">
        <f>(VLOOKUP(C8,'2nd Term'!B9:AN48,36,FALSE))+(VLOOKUP(C8,'2nd Term'!B9:AN48,37,FALSE))</f>
        <v>46</v>
      </c>
      <c r="J36" s="31">
        <f>(VLOOKUP($C$8,'1st Term'!$B$9:$AN$48,36,FALSE))+(VLOOKUP($C$8,'1st Term'!$B$9:$AN$48,37,FALSE))</f>
        <v>48</v>
      </c>
      <c r="K36" s="31">
        <f t="shared" si="2"/>
        <v>133</v>
      </c>
      <c r="L36" s="26">
        <f t="shared" si="0"/>
        <v>44.333333333333336</v>
      </c>
      <c r="M36" s="31" t="str">
        <f t="shared" si="3"/>
        <v>P</v>
      </c>
    </row>
    <row r="37" spans="1:13" x14ac:dyDescent="0.25">
      <c r="A37" s="18" t="s">
        <v>21</v>
      </c>
      <c r="B37" s="7"/>
      <c r="C37" s="7"/>
      <c r="D37" s="7"/>
      <c r="E37" s="7"/>
      <c r="F37" s="57">
        <f>VLOOKUP(C8,'3rd Term'!B9:AN48,38,FALSE)</f>
        <v>4</v>
      </c>
      <c r="G37" s="31">
        <f>VLOOKUP(C8,'3rd Term'!B9:AN48,39,FALSE)</f>
        <v>23</v>
      </c>
      <c r="H37" s="31">
        <f t="shared" si="1"/>
        <v>27</v>
      </c>
      <c r="I37" s="31">
        <f>(VLOOKUP(C8,'2nd Term'!B9:AN48,38,FALSE))+(VLOOKUP(C8,'2nd Term'!B9:AN48,39,FALSE))</f>
        <v>43</v>
      </c>
      <c r="J37" s="31">
        <f>(VLOOKUP($C$8,'1st Term'!$B$9:$AN$48,38,FALSE))+(VLOOKUP($C$8,'1st Term'!$B$9:$AN$48,39,FALSE))</f>
        <v>54</v>
      </c>
      <c r="K37" s="31">
        <f t="shared" si="2"/>
        <v>124</v>
      </c>
      <c r="L37" s="26">
        <f t="shared" si="0"/>
        <v>41.333333333333336</v>
      </c>
      <c r="M37" s="31" t="str">
        <f t="shared" si="3"/>
        <v>P</v>
      </c>
    </row>
    <row r="43" spans="1:13" x14ac:dyDescent="0.25">
      <c r="G43" s="110" t="s">
        <v>62</v>
      </c>
      <c r="H43" s="110"/>
      <c r="I43" s="110"/>
      <c r="J43" s="110"/>
      <c r="K43" s="110"/>
      <c r="L43" s="110"/>
      <c r="M43" s="110"/>
    </row>
    <row r="44" spans="1:13" x14ac:dyDescent="0.25">
      <c r="A44" s="77" t="s">
        <v>58</v>
      </c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</row>
    <row r="45" spans="1:13" ht="12.75" customHeight="1" x14ac:dyDescent="0.25">
      <c r="A45" s="50" t="str">
        <f>VLOOKUP(C8,comments!B8:X47,7,0)</f>
        <v>She is improving gradually but needs to participate more in class discussions.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</row>
    <row r="46" spans="1:13" x14ac:dyDescent="0.25">
      <c r="A46" s="50"/>
      <c r="B46" s="50"/>
      <c r="C46" s="50"/>
      <c r="D46" s="50"/>
      <c r="E46" s="50"/>
      <c r="F46" s="78"/>
      <c r="G46" s="78"/>
      <c r="H46" s="78"/>
      <c r="I46" s="78"/>
      <c r="J46" s="78"/>
      <c r="K46" s="78"/>
      <c r="L46" s="78"/>
      <c r="M46" s="78"/>
    </row>
    <row r="47" spans="1:13" x14ac:dyDescent="0.25">
      <c r="A47" s="79" t="s">
        <v>60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</row>
    <row r="48" spans="1:13" ht="12" customHeight="1" x14ac:dyDescent="0.25">
      <c r="A48" s="50" t="str">
        <f>VLOOKUP(C8,comments!B8:X47,14,0)</f>
        <v>Just fair. You can improve if only you will be more regular at school next term. Promoted to the Next Class.</v>
      </c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</row>
    <row r="49" spans="1:13" x14ac:dyDescent="0.25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</row>
    <row r="50" spans="1:13" x14ac:dyDescent="0.25">
      <c r="A50" s="79" t="s">
        <v>59</v>
      </c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</row>
    <row r="51" spans="1:13" ht="12" customHeight="1" x14ac:dyDescent="0.25">
      <c r="A51" s="78" t="s">
        <v>61</v>
      </c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</row>
  </sheetData>
  <sheetProtection algorithmName="SHA-512" hashValue="xkT5B3IQ/6QqqexygsTOEErwdjqAWLsUcYxRPTlHpKXbJAhp719mcjlrmf5v7VLWAkteuyWDzNmTg55ndsVJMw==" saltValue="bpmTMQX6p3a6pnydi9dkHA==" spinCount="100000" sheet="1" scenarios="1"/>
  <mergeCells count="13">
    <mergeCell ref="I14:I17"/>
    <mergeCell ref="A18:B18"/>
    <mergeCell ref="G43:M43"/>
    <mergeCell ref="B1:M2"/>
    <mergeCell ref="B3:M3"/>
    <mergeCell ref="B4:M4"/>
    <mergeCell ref="B5:M6"/>
    <mergeCell ref="K7:M12"/>
    <mergeCell ref="A8:B8"/>
    <mergeCell ref="A9:B9"/>
    <mergeCell ref="A10:B10"/>
    <mergeCell ref="A11:B11"/>
    <mergeCell ref="A12:B12"/>
  </mergeCells>
  <conditionalFormatting sqref="M19:M37">
    <cfRule type="cellIs" dxfId="49" priority="3" operator="equal">
      <formula>"F"</formula>
    </cfRule>
    <cfRule type="cellIs" dxfId="48" priority="4" operator="equal">
      <formula>"P"</formula>
    </cfRule>
    <cfRule type="cellIs" dxfId="47" priority="5" operator="equal">
      <formula>"C"</formula>
    </cfRule>
    <cfRule type="cellIs" dxfId="46" priority="6" operator="equal">
      <formula>"A"</formula>
    </cfRule>
  </conditionalFormatting>
  <conditionalFormatting sqref="F19:J37">
    <cfRule type="cellIs" dxfId="45" priority="1" operator="equal">
      <formula>0</formula>
    </cfRule>
    <cfRule type="colorScale" priority="2">
      <colorScale>
        <cfvo type="min"/>
        <cfvo type="num" val="0"/>
        <color rgb="FFFF7128"/>
        <color theme="0"/>
      </colorScale>
    </cfRule>
  </conditionalFormatting>
  <dataValidations count="1">
    <dataValidation type="list" allowBlank="1" showInputMessage="1" showErrorMessage="1" sqref="M14:M17" xr:uid="{33F3ADC6-F74E-417C-B1BE-EE8B4527EB9B}">
      <formula1>"A,B,C,D,E"</formula1>
    </dataValidation>
  </dataValidations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ACE1D-8B35-4FD6-BCE9-EAD93341F565}">
  <sheetPr>
    <tabColor rgb="FF7030A0"/>
  </sheetPr>
  <dimension ref="A1:M51"/>
  <sheetViews>
    <sheetView workbookViewId="0">
      <selection activeCell="B1" sqref="B1:M4"/>
    </sheetView>
  </sheetViews>
  <sheetFormatPr defaultRowHeight="15" x14ac:dyDescent="0.25"/>
  <cols>
    <col min="3" max="3" width="8.140625" customWidth="1"/>
    <col min="4" max="4" width="9.42578125" customWidth="1"/>
    <col min="5" max="5" width="10.5703125" customWidth="1"/>
    <col min="6" max="6" width="6.28515625" customWidth="1"/>
    <col min="7" max="8" width="5.85546875" customWidth="1"/>
    <col min="9" max="9" width="5.5703125" customWidth="1"/>
    <col min="10" max="11" width="5.28515625" customWidth="1"/>
    <col min="12" max="12" width="6.28515625" customWidth="1"/>
    <col min="13" max="13" width="5.7109375" customWidth="1"/>
  </cols>
  <sheetData>
    <row r="1" spans="1:13" ht="15" customHeight="1" x14ac:dyDescent="0.25">
      <c r="A1" s="10"/>
      <c r="B1" s="116" t="s">
        <v>185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</row>
    <row r="2" spans="1:13" ht="15" customHeight="1" x14ac:dyDescent="0.25">
      <c r="A2" s="10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</row>
    <row r="3" spans="1:13" ht="15.75" x14ac:dyDescent="0.25">
      <c r="A3" s="10"/>
      <c r="B3" s="117" t="s">
        <v>184</v>
      </c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</row>
    <row r="4" spans="1:13" ht="15.75" x14ac:dyDescent="0.25">
      <c r="A4" s="10"/>
      <c r="B4" s="118" t="s">
        <v>186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</row>
    <row r="5" spans="1:13" ht="15" customHeight="1" x14ac:dyDescent="0.25">
      <c r="A5" s="10"/>
      <c r="B5" s="119" t="s">
        <v>36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</row>
    <row r="6" spans="1:13" ht="15" customHeight="1" x14ac:dyDescent="0.25">
      <c r="A6" s="10"/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</row>
    <row r="7" spans="1:13" ht="15" customHeight="1" x14ac:dyDescent="0.25">
      <c r="I7" s="10"/>
      <c r="J7" s="10"/>
      <c r="K7" s="122" t="s">
        <v>105</v>
      </c>
      <c r="L7" s="122"/>
      <c r="M7" s="122"/>
    </row>
    <row r="8" spans="1:13" x14ac:dyDescent="0.25">
      <c r="A8" s="120" t="s">
        <v>37</v>
      </c>
      <c r="B8" s="120"/>
      <c r="C8" s="29" t="str">
        <f>('1st Term'!B22)</f>
        <v>JOSIAH SUNDAY</v>
      </c>
      <c r="D8" s="8"/>
      <c r="E8" s="8"/>
      <c r="F8" s="8"/>
      <c r="G8" s="8"/>
      <c r="H8" s="9"/>
      <c r="I8" s="10"/>
      <c r="J8" s="10"/>
      <c r="K8" s="122"/>
      <c r="L8" s="122"/>
      <c r="M8" s="122"/>
    </row>
    <row r="9" spans="1:13" x14ac:dyDescent="0.25">
      <c r="A9" s="121" t="s">
        <v>38</v>
      </c>
      <c r="B9" s="115"/>
      <c r="C9" s="29" t="str">
        <f>('1st Term'!B7)</f>
        <v>JSS 1A</v>
      </c>
      <c r="D9" s="8"/>
      <c r="E9" s="8"/>
      <c r="F9" s="8"/>
      <c r="G9" s="8"/>
      <c r="H9" s="9"/>
      <c r="I9" s="10"/>
      <c r="J9" s="10"/>
      <c r="K9" s="122"/>
      <c r="L9" s="122"/>
      <c r="M9" s="122"/>
    </row>
    <row r="10" spans="1:13" x14ac:dyDescent="0.25">
      <c r="A10" s="121" t="s">
        <v>39</v>
      </c>
      <c r="B10" s="115"/>
      <c r="C10" s="29" t="str">
        <f>(comments!C4)</f>
        <v>2025/2026</v>
      </c>
      <c r="D10" s="8"/>
      <c r="E10" s="8"/>
      <c r="F10" s="43"/>
      <c r="G10" s="43"/>
      <c r="H10" s="9"/>
      <c r="I10" s="10"/>
      <c r="J10" s="10"/>
      <c r="K10" s="122"/>
      <c r="L10" s="122"/>
      <c r="M10" s="122"/>
    </row>
    <row r="11" spans="1:13" x14ac:dyDescent="0.25">
      <c r="A11" s="121" t="s">
        <v>40</v>
      </c>
      <c r="B11" s="115"/>
      <c r="C11" s="30" t="str">
        <f>(comments!B5)</f>
        <v>THIRD TERM</v>
      </c>
      <c r="D11" s="7"/>
      <c r="E11" s="7"/>
      <c r="F11" s="13" t="s">
        <v>167</v>
      </c>
      <c r="G11" s="8"/>
      <c r="H11" s="53">
        <f>INDEX(comments!D8:D47,MATCH(sheet14!C8,comments!B8:B47,0))</f>
        <v>58.274509803921568</v>
      </c>
      <c r="I11" s="10"/>
      <c r="J11" s="10"/>
      <c r="K11" s="122"/>
      <c r="L11" s="122"/>
      <c r="M11" s="122"/>
    </row>
    <row r="12" spans="1:13" x14ac:dyDescent="0.25">
      <c r="A12" s="114" t="s">
        <v>41</v>
      </c>
      <c r="B12" s="115"/>
      <c r="C12" s="30" t="str">
        <f>(comments!E6)</f>
        <v>20TH APRIL 2026</v>
      </c>
      <c r="D12" s="7"/>
      <c r="E12" s="7"/>
      <c r="F12" s="13" t="s">
        <v>44</v>
      </c>
      <c r="G12" s="8"/>
      <c r="H12" s="51" t="str">
        <f>INDEX(comments!E8:E47,MATCH(sheet14!C8,comments!B8:B47,0))</f>
        <v>9th</v>
      </c>
      <c r="I12" s="10"/>
      <c r="J12" s="10"/>
      <c r="K12" s="123"/>
      <c r="L12" s="123"/>
      <c r="M12" s="123"/>
    </row>
    <row r="13" spans="1:13" x14ac:dyDescent="0.25">
      <c r="A13" s="48"/>
      <c r="B13" s="49"/>
      <c r="C13" s="50"/>
      <c r="F13" s="25"/>
      <c r="H13" s="52"/>
      <c r="I13" s="10"/>
      <c r="J13" s="10"/>
      <c r="K13" s="54"/>
      <c r="L13" s="54"/>
      <c r="M13" s="54"/>
    </row>
    <row r="14" spans="1:13" ht="16.5" customHeight="1" x14ac:dyDescent="0.25">
      <c r="A14" s="16" t="s">
        <v>48</v>
      </c>
      <c r="B14" s="8"/>
      <c r="C14" s="8"/>
      <c r="D14" s="13" t="s">
        <v>49</v>
      </c>
      <c r="E14" s="8"/>
      <c r="F14" s="8"/>
      <c r="G14" s="8"/>
      <c r="H14" s="15"/>
      <c r="I14" s="113" t="s">
        <v>50</v>
      </c>
      <c r="J14" s="45" t="s">
        <v>32</v>
      </c>
      <c r="K14" s="44"/>
      <c r="L14" s="17"/>
      <c r="M14" s="44" t="s">
        <v>52</v>
      </c>
    </row>
    <row r="15" spans="1:13" ht="21" customHeight="1" x14ac:dyDescent="0.25">
      <c r="A15" s="11" t="s">
        <v>46</v>
      </c>
      <c r="B15" s="7"/>
      <c r="C15" s="7"/>
      <c r="D15" s="55">
        <f>(comments!C6)</f>
        <v>110</v>
      </c>
      <c r="E15" s="8"/>
      <c r="F15" s="8"/>
      <c r="G15" s="8"/>
      <c r="H15" s="14"/>
      <c r="I15" s="113"/>
      <c r="J15" s="45" t="s">
        <v>33</v>
      </c>
      <c r="K15" s="44"/>
      <c r="L15" s="17"/>
      <c r="M15" s="44" t="s">
        <v>51</v>
      </c>
    </row>
    <row r="16" spans="1:13" ht="18.75" customHeight="1" x14ac:dyDescent="0.25">
      <c r="A16" s="12" t="s">
        <v>47</v>
      </c>
      <c r="B16" s="8"/>
      <c r="C16" s="8"/>
      <c r="D16" s="56">
        <f>VLOOKUP(C8,comments!B8:C47,2,FALSE)</f>
        <v>0</v>
      </c>
      <c r="E16" s="8"/>
      <c r="F16" s="8"/>
      <c r="G16" s="8"/>
      <c r="H16" s="14"/>
      <c r="I16" s="113"/>
      <c r="J16" s="45" t="s">
        <v>34</v>
      </c>
      <c r="K16" s="44"/>
      <c r="L16" s="17"/>
      <c r="M16" s="44" t="s">
        <v>51</v>
      </c>
    </row>
    <row r="17" spans="1:13" ht="17.25" customHeight="1" x14ac:dyDescent="0.25">
      <c r="A17" s="11" t="s">
        <v>45</v>
      </c>
      <c r="B17" s="7"/>
      <c r="C17" s="7"/>
      <c r="D17" s="56">
        <f>(comments!D6)</f>
        <v>22</v>
      </c>
      <c r="E17" s="8"/>
      <c r="F17" s="8"/>
      <c r="G17" s="8"/>
      <c r="H17" s="14"/>
      <c r="I17" s="113"/>
      <c r="J17" s="47" t="s">
        <v>35</v>
      </c>
      <c r="K17" s="46"/>
      <c r="L17" s="40"/>
      <c r="M17" s="44" t="s">
        <v>52</v>
      </c>
    </row>
    <row r="18" spans="1:13" ht="61.5" customHeight="1" x14ac:dyDescent="0.25">
      <c r="A18" s="111" t="s">
        <v>53</v>
      </c>
      <c r="B18" s="112"/>
      <c r="C18" s="19"/>
      <c r="D18" s="19"/>
      <c r="E18" s="19"/>
      <c r="F18" s="41" t="s">
        <v>172</v>
      </c>
      <c r="G18" s="41" t="s">
        <v>171</v>
      </c>
      <c r="H18" s="41" t="s">
        <v>173</v>
      </c>
      <c r="I18" s="42" t="s">
        <v>174</v>
      </c>
      <c r="J18" s="42" t="s">
        <v>175</v>
      </c>
      <c r="K18" s="41" t="s">
        <v>165</v>
      </c>
      <c r="L18" s="41" t="s">
        <v>166</v>
      </c>
      <c r="M18" s="41" t="s">
        <v>54</v>
      </c>
    </row>
    <row r="19" spans="1:13" ht="15" customHeight="1" x14ac:dyDescent="0.25">
      <c r="A19" s="20" t="s">
        <v>6</v>
      </c>
      <c r="B19" s="8"/>
      <c r="C19" s="8"/>
      <c r="D19" s="8"/>
      <c r="E19" s="8"/>
      <c r="F19" s="31">
        <f>VLOOKUP(C8,'3rd Term'!B9:AN48,2,FALSE)</f>
        <v>21</v>
      </c>
      <c r="G19" s="31">
        <f>VLOOKUP(C8,'3rd Term'!B9:AN48,3,FALSE)</f>
        <v>49</v>
      </c>
      <c r="H19" s="31">
        <f>SUM(F19:G19)</f>
        <v>70</v>
      </c>
      <c r="I19" s="5">
        <f>(VLOOKUP(C8,'2nd Term'!B9:AN48,2,FALSE))+(VLOOKUP(C8,'2nd Term'!B9:AN48,3,FALSE))</f>
        <v>64</v>
      </c>
      <c r="J19" s="31">
        <f>(VLOOKUP($C$8,'1st Term'!$B$9:$AN$48,2,FALSE))+(VLOOKUP($C$8,'1st Term'!$B$9:$AN$48,3,FALSE))</f>
        <v>64</v>
      </c>
      <c r="K19" s="31">
        <f>IF(SUM(H19:J19)=0,"-",SUM(H19:J19))</f>
        <v>198</v>
      </c>
      <c r="L19" s="26">
        <f t="shared" ref="L19:L37" si="0">IFERROR(((H19)+(I19)+(J19))/((--(H19&gt;0))+(--(I19&gt;0))+(--(J19&gt;0))),"-")</f>
        <v>66</v>
      </c>
      <c r="M19" s="31" t="str">
        <f>IF(L19="-","-",IF(L19&gt;=70,"A",IF(L19&gt;=50,"C",IF(L19&gt;=40,"P","F"))))</f>
        <v>C</v>
      </c>
    </row>
    <row r="20" spans="1:13" ht="15" customHeight="1" x14ac:dyDescent="0.25">
      <c r="A20" s="20" t="s">
        <v>3</v>
      </c>
      <c r="B20" s="8"/>
      <c r="C20" s="8"/>
      <c r="D20" s="8"/>
      <c r="E20" s="8"/>
      <c r="F20" s="1">
        <f>VLOOKUP(C8,'3rd Term'!B9:AN48,4,FALSE)</f>
        <v>23</v>
      </c>
      <c r="G20" s="31">
        <f>VLOOKUP(C8,'3rd Term'!B9:AN48,5,FALSE)</f>
        <v>53</v>
      </c>
      <c r="H20" s="31">
        <f t="shared" ref="H20:H37" si="1">SUM(F20:G20)</f>
        <v>76</v>
      </c>
      <c r="I20" s="31">
        <f>(VLOOKUP(C8,'2nd Term'!B9:AN48,4,FALSE))+(VLOOKUP(C8,'2nd Term'!B9:AN48,5,FALSE))</f>
        <v>63</v>
      </c>
      <c r="J20" s="31">
        <f>(VLOOKUP($C$8,'1st Term'!$B$9:$AN$48,4,FALSE))+(VLOOKUP($C$8,'1st Term'!$B$9:$AN$48,5,FALSE))</f>
        <v>83</v>
      </c>
      <c r="K20" s="31">
        <f t="shared" ref="K20:K37" si="2">IF(SUM(H20:J20)=0,"-",SUM(H20:J20))</f>
        <v>222</v>
      </c>
      <c r="L20" s="26">
        <f t="shared" si="0"/>
        <v>74</v>
      </c>
      <c r="M20" s="31" t="str">
        <f t="shared" ref="M20:M37" si="3">IF(L20="-","-",IF(L20&gt;=70,"A",IF(L20&gt;=50,"C",IF(L20&gt;=40,"P","F"))))</f>
        <v>A</v>
      </c>
    </row>
    <row r="21" spans="1:13" ht="15" customHeight="1" x14ac:dyDescent="0.25">
      <c r="A21" s="20" t="s">
        <v>4</v>
      </c>
      <c r="B21" s="8"/>
      <c r="C21" s="8"/>
      <c r="D21" s="8"/>
      <c r="E21" s="8"/>
      <c r="F21" s="1">
        <f>VLOOKUP(C8,'3rd Term'!B9:AN48,6,FALSE)</f>
        <v>26</v>
      </c>
      <c r="G21" s="31">
        <f>VLOOKUP(C8,'3rd Term'!B9:AN48,7,FALSE)</f>
        <v>64</v>
      </c>
      <c r="H21" s="31">
        <f t="shared" si="1"/>
        <v>90</v>
      </c>
      <c r="I21" s="31">
        <f>(VLOOKUP(C8,'2nd Term'!B9:AN48,6,FALSE))+(VLOOKUP(C8,'2nd Term'!B9:AN48,7,FALSE))</f>
        <v>66</v>
      </c>
      <c r="J21" s="31">
        <f>(VLOOKUP($C$8,'1st Term'!$B$9:$AN$48,6,FALSE))+(VLOOKUP($C$8,'1st Term'!$B$9:$AN$48,7,FALSE))</f>
        <v>54</v>
      </c>
      <c r="K21" s="31">
        <f t="shared" si="2"/>
        <v>210</v>
      </c>
      <c r="L21" s="26">
        <f t="shared" si="0"/>
        <v>70</v>
      </c>
      <c r="M21" s="31" t="str">
        <f t="shared" si="3"/>
        <v>A</v>
      </c>
    </row>
    <row r="22" spans="1:13" ht="15" customHeight="1" x14ac:dyDescent="0.25">
      <c r="A22" s="20" t="s">
        <v>5</v>
      </c>
      <c r="B22" s="8"/>
      <c r="C22" s="8"/>
      <c r="D22" s="8"/>
      <c r="E22" s="8"/>
      <c r="F22" s="1">
        <f>VLOOKUP(C8,'3rd Term'!B9:AN48,8,FALSE)</f>
        <v>23</v>
      </c>
      <c r="G22" s="31">
        <f>VLOOKUP(C8,'3rd Term'!B9:AN48,9,FALSE)</f>
        <v>48</v>
      </c>
      <c r="H22" s="31">
        <f t="shared" si="1"/>
        <v>71</v>
      </c>
      <c r="I22" s="31">
        <f>(VLOOKUP(C8,'2nd Term'!B9:AN48,8,FALSE))+(VLOOKUP(C8,'2nd Term'!B9:AN48,9,FALSE))</f>
        <v>40</v>
      </c>
      <c r="J22" s="31">
        <f>(VLOOKUP($C$8,'1st Term'!$B$9:$AN$48,8,FALSE))+(VLOOKUP($C$8,'1st Term'!$B$9:$AN$48,9,FALSE))</f>
        <v>47</v>
      </c>
      <c r="K22" s="31">
        <f t="shared" si="2"/>
        <v>158</v>
      </c>
      <c r="L22" s="26">
        <f t="shared" si="0"/>
        <v>52.666666666666664</v>
      </c>
      <c r="M22" s="31" t="str">
        <f t="shared" si="3"/>
        <v>C</v>
      </c>
    </row>
    <row r="23" spans="1:13" ht="15" customHeight="1" x14ac:dyDescent="0.25">
      <c r="A23" s="20" t="s">
        <v>7</v>
      </c>
      <c r="B23" s="8"/>
      <c r="C23" s="8"/>
      <c r="D23" s="8"/>
      <c r="E23" s="8"/>
      <c r="F23" s="1">
        <f>VLOOKUP(C8,'3rd Term'!B9:AN48,10,FALSE)</f>
        <v>17</v>
      </c>
      <c r="G23" s="31">
        <f>VLOOKUP(C8,'3rd Term'!B9:AN48,11,FALSE)</f>
        <v>40</v>
      </c>
      <c r="H23" s="31">
        <f t="shared" si="1"/>
        <v>57</v>
      </c>
      <c r="I23" s="31">
        <f>(VLOOKUP(C8,'2nd Term'!B9:AN48,10,FALSE))+(VLOOKUP(C8,'2nd Term'!B9:AN48,11,FALSE))</f>
        <v>48</v>
      </c>
      <c r="J23" s="31">
        <f>(VLOOKUP($C$8,'1st Term'!$B$9:$AN$48,10,FALSE))+(VLOOKUP($C$8,'1st Term'!$B$9:$AN$48,11,FALSE))</f>
        <v>55</v>
      </c>
      <c r="K23" s="31">
        <f t="shared" si="2"/>
        <v>160</v>
      </c>
      <c r="L23" s="26">
        <f t="shared" si="0"/>
        <v>53.333333333333336</v>
      </c>
      <c r="M23" s="31" t="str">
        <f t="shared" si="3"/>
        <v>C</v>
      </c>
    </row>
    <row r="24" spans="1:13" ht="15" customHeight="1" x14ac:dyDescent="0.25">
      <c r="A24" s="20" t="s">
        <v>8</v>
      </c>
      <c r="B24" s="8"/>
      <c r="C24" s="8"/>
      <c r="D24" s="8"/>
      <c r="E24" s="8"/>
      <c r="F24" s="1">
        <f>VLOOKUP(C8,'3rd Term'!B9:AN48,12,FALSE)</f>
        <v>23</v>
      </c>
      <c r="G24" s="31">
        <f>VLOOKUP(C8,'3rd Term'!B9:AN48,13,FALSE)</f>
        <v>47</v>
      </c>
      <c r="H24" s="31">
        <f t="shared" si="1"/>
        <v>70</v>
      </c>
      <c r="I24" s="31">
        <f>(VLOOKUP(C8,'2nd Term'!B9:AN48,12,FALSE))+(VLOOKUP(C8,'2nd Term'!B9:AN48,13,FALSE))</f>
        <v>35</v>
      </c>
      <c r="J24" s="31">
        <f>(VLOOKUP($C$8,'1st Term'!$B$9:$AN$48,12,FALSE))+(VLOOKUP($C$8,'1st Term'!$B$9:$AN$48,13,FALSE))</f>
        <v>30</v>
      </c>
      <c r="K24" s="31">
        <f t="shared" si="2"/>
        <v>135</v>
      </c>
      <c r="L24" s="26">
        <f t="shared" si="0"/>
        <v>45</v>
      </c>
      <c r="M24" s="31" t="str">
        <f t="shared" si="3"/>
        <v>P</v>
      </c>
    </row>
    <row r="25" spans="1:13" ht="15" customHeight="1" x14ac:dyDescent="0.25">
      <c r="A25" s="20" t="s">
        <v>9</v>
      </c>
      <c r="B25" s="8"/>
      <c r="C25" s="8"/>
      <c r="D25" s="8"/>
      <c r="E25" s="8"/>
      <c r="F25" s="1">
        <f>VLOOKUP(C8,'3rd Term'!B9:AN48,14,FALSE)</f>
        <v>26</v>
      </c>
      <c r="G25" s="31">
        <f>VLOOKUP(C8,'3rd Term'!B9:AN48,15,FALSE)</f>
        <v>38</v>
      </c>
      <c r="H25" s="31">
        <f t="shared" si="1"/>
        <v>64</v>
      </c>
      <c r="I25" s="31">
        <f>(VLOOKUP(C8,'2nd Term'!B9:AN48,14,FALSE))+(VLOOKUP(C8,'2nd Term'!B9:AN48,15,FALSE))</f>
        <v>53</v>
      </c>
      <c r="J25" s="31">
        <f>(VLOOKUP($C$8,'1st Term'!$B$9:$AN$48,14,FALSE))+(VLOOKUP($C$8,'1st Term'!$B$9:$AN$48,15,FALSE))</f>
        <v>50</v>
      </c>
      <c r="K25" s="31">
        <f t="shared" si="2"/>
        <v>167</v>
      </c>
      <c r="L25" s="26">
        <f t="shared" si="0"/>
        <v>55.666666666666664</v>
      </c>
      <c r="M25" s="31" t="str">
        <f t="shared" si="3"/>
        <v>C</v>
      </c>
    </row>
    <row r="26" spans="1:13" ht="15" customHeight="1" x14ac:dyDescent="0.25">
      <c r="A26" s="20" t="s">
        <v>10</v>
      </c>
      <c r="B26" s="8"/>
      <c r="C26" s="8"/>
      <c r="D26" s="8"/>
      <c r="E26" s="8"/>
      <c r="F26" s="1">
        <f>VLOOKUP(C8,'3rd Term'!B9:AN48,16,FALSE)</f>
        <v>24</v>
      </c>
      <c r="G26" s="31">
        <f>VLOOKUP(C8,'3rd Term'!B9:AN48,17,FALSE)</f>
        <v>42</v>
      </c>
      <c r="H26" s="31">
        <f t="shared" si="1"/>
        <v>66</v>
      </c>
      <c r="I26" s="31">
        <f>(VLOOKUP(C8,'2nd Term'!B9:AN48,16,FALSE))+(VLOOKUP(C8,'2nd Term'!B9:AN48,17,FALSE))</f>
        <v>55</v>
      </c>
      <c r="J26" s="31">
        <f>(VLOOKUP($C$8,'1st Term'!$B$9:$AN$48,16,FALSE))+(VLOOKUP($C$8,'1st Term'!$B$9:$AN$48,17,FALSE))</f>
        <v>43</v>
      </c>
      <c r="K26" s="31">
        <f t="shared" si="2"/>
        <v>164</v>
      </c>
      <c r="L26" s="26">
        <f t="shared" si="0"/>
        <v>54.666666666666664</v>
      </c>
      <c r="M26" s="31" t="str">
        <f t="shared" si="3"/>
        <v>C</v>
      </c>
    </row>
    <row r="27" spans="1:13" ht="15" hidden="1" customHeight="1" x14ac:dyDescent="0.25">
      <c r="A27" s="20" t="s">
        <v>11</v>
      </c>
      <c r="B27" s="8"/>
      <c r="C27" s="8"/>
      <c r="D27" s="8"/>
      <c r="E27" s="8"/>
      <c r="F27" s="1">
        <f>VLOOKUP(C8,'3rd Term'!B9:AN48,18,FALSE)</f>
        <v>0</v>
      </c>
      <c r="G27" s="31">
        <f>VLOOKUP(C8,'3rd Term'!B9:AN48,19,FALSE)</f>
        <v>0</v>
      </c>
      <c r="H27" s="31">
        <f t="shared" si="1"/>
        <v>0</v>
      </c>
      <c r="I27" s="31">
        <f>(VLOOKUP(C8,'2nd Term'!B9:AN48,18,FALSE))+(VLOOKUP(C8,'2nd Term'!B9:AN48,19,FALSE))</f>
        <v>0</v>
      </c>
      <c r="J27" s="31">
        <f>(VLOOKUP($C$8,'1st Term'!$B$9:$AN$48,18,FALSE))+(VLOOKUP($C$8,'1st Term'!$B$9:$AN$48,19,FALSE))</f>
        <v>0</v>
      </c>
      <c r="K27" s="31" t="str">
        <f t="shared" si="2"/>
        <v>-</v>
      </c>
      <c r="L27" s="26" t="str">
        <f t="shared" si="0"/>
        <v>-</v>
      </c>
      <c r="M27" s="31" t="str">
        <f t="shared" si="3"/>
        <v>-</v>
      </c>
    </row>
    <row r="28" spans="1:13" ht="15" customHeight="1" x14ac:dyDescent="0.25">
      <c r="A28" s="20" t="s">
        <v>13</v>
      </c>
      <c r="B28" s="8"/>
      <c r="C28" s="8"/>
      <c r="D28" s="8"/>
      <c r="E28" s="8"/>
      <c r="F28" s="1">
        <f>VLOOKUP(C8,'3rd Term'!B9:AN48,20,FALSE)</f>
        <v>20</v>
      </c>
      <c r="G28" s="31">
        <f>VLOOKUP(C8,'3rd Term'!B9:AN48,21,FALSE)</f>
        <v>54</v>
      </c>
      <c r="H28" s="31">
        <f t="shared" si="1"/>
        <v>74</v>
      </c>
      <c r="I28" s="31">
        <f>(VLOOKUP(C8,'2nd Term'!B9:AN48,20,FALSE))+(VLOOKUP(C8,'2nd Term'!B9:AN48,21,FALSE))</f>
        <v>69</v>
      </c>
      <c r="J28" s="31">
        <f>(VLOOKUP($C$8,'1st Term'!$B$9:$AN$48,20,FALSE))+(VLOOKUP($C$8,'1st Term'!$B$9:$AN$48,21,FALSE))</f>
        <v>32</v>
      </c>
      <c r="K28" s="31">
        <f t="shared" si="2"/>
        <v>175</v>
      </c>
      <c r="L28" s="26">
        <f t="shared" si="0"/>
        <v>58.333333333333336</v>
      </c>
      <c r="M28" s="31" t="str">
        <f t="shared" si="3"/>
        <v>C</v>
      </c>
    </row>
    <row r="29" spans="1:13" x14ac:dyDescent="0.25">
      <c r="A29" s="20" t="s">
        <v>14</v>
      </c>
      <c r="B29" s="8"/>
      <c r="C29" s="8"/>
      <c r="D29" s="8"/>
      <c r="E29" s="8"/>
      <c r="F29" s="1">
        <f>VLOOKUP(C8,'3rd Term'!B9:AN48,22,FALSE)</f>
        <v>24</v>
      </c>
      <c r="G29" s="31">
        <f>VLOOKUP(C8,'3rd Term'!B9:AN48,23,FALSE)</f>
        <v>55</v>
      </c>
      <c r="H29" s="31">
        <f t="shared" si="1"/>
        <v>79</v>
      </c>
      <c r="I29" s="31">
        <f>(VLOOKUP(C8,'2nd Term'!B9:AN48,22,FALSE))+(VLOOKUP(C8,'2nd Term'!B9:AN48,23,FALSE))</f>
        <v>51</v>
      </c>
      <c r="J29" s="31">
        <f>(VLOOKUP($C$8,'1st Term'!$B$9:$AN$48,22,FALSE))+(VLOOKUP($C$8,'1st Term'!$B$9:$AN$48,23,FALSE))</f>
        <v>60</v>
      </c>
      <c r="K29" s="31">
        <f t="shared" si="2"/>
        <v>190</v>
      </c>
      <c r="L29" s="26">
        <f t="shared" si="0"/>
        <v>63.333333333333336</v>
      </c>
      <c r="M29" s="31" t="str">
        <f t="shared" si="3"/>
        <v>C</v>
      </c>
    </row>
    <row r="30" spans="1:13" x14ac:dyDescent="0.25">
      <c r="A30" s="20" t="s">
        <v>15</v>
      </c>
      <c r="B30" s="8"/>
      <c r="C30" s="8"/>
      <c r="D30" s="8"/>
      <c r="E30" s="8"/>
      <c r="F30" s="1">
        <f>VLOOKUP(C8,'3rd Term'!B9:AN48,24,FALSE)</f>
        <v>25</v>
      </c>
      <c r="G30" s="31">
        <f>VLOOKUP(C8,'3rd Term'!B9:AN48,25,FALSE)</f>
        <v>35</v>
      </c>
      <c r="H30" s="31">
        <f t="shared" si="1"/>
        <v>60</v>
      </c>
      <c r="I30" s="31">
        <f>(VLOOKUP(C8,'2nd Term'!B9:AN48,24,FALSE))+(VLOOKUP(C8,'2nd Term'!B9:AN48,25,FALSE))</f>
        <v>50</v>
      </c>
      <c r="J30" s="31">
        <f>(VLOOKUP($C$8,'1st Term'!$B$9:$AN$48,24,FALSE))+(VLOOKUP($C$8,'1st Term'!$B$9:$AN$48,25,FALSE))</f>
        <v>56</v>
      </c>
      <c r="K30" s="31">
        <f t="shared" si="2"/>
        <v>166</v>
      </c>
      <c r="L30" s="26">
        <f t="shared" si="0"/>
        <v>55.333333333333336</v>
      </c>
      <c r="M30" s="31" t="str">
        <f t="shared" si="3"/>
        <v>C</v>
      </c>
    </row>
    <row r="31" spans="1:13" hidden="1" x14ac:dyDescent="0.25">
      <c r="A31" s="20" t="s">
        <v>22</v>
      </c>
      <c r="B31" s="8"/>
      <c r="C31" s="8"/>
      <c r="D31" s="8"/>
      <c r="E31" s="8"/>
      <c r="F31" s="1">
        <f>VLOOKUP(C8,'3rd Term'!B9:AN48,26,FALSE)</f>
        <v>0</v>
      </c>
      <c r="G31" s="31">
        <f>VLOOKUP(C8,'3rd Term'!B9:AN48,27,FALSE)</f>
        <v>0</v>
      </c>
      <c r="H31" s="31">
        <f t="shared" si="1"/>
        <v>0</v>
      </c>
      <c r="I31" s="31">
        <f>(VLOOKUP(C8,'2nd Term'!B9:AN48,26,FALSE))+(VLOOKUP(C8,'2nd Term'!B9:AN48,27,FALSE))</f>
        <v>0</v>
      </c>
      <c r="J31" s="31">
        <f>(VLOOKUP($C$8,'1st Term'!$B$9:$AN$48,26,FALSE))+(VLOOKUP($C$8,'1st Term'!$B$9:$AN$48,27,FALSE))</f>
        <v>0</v>
      </c>
      <c r="K31" s="31" t="str">
        <f t="shared" si="2"/>
        <v>-</v>
      </c>
      <c r="L31" s="26" t="str">
        <f t="shared" si="0"/>
        <v>-</v>
      </c>
      <c r="M31" s="31" t="str">
        <f t="shared" si="3"/>
        <v>-</v>
      </c>
    </row>
    <row r="32" spans="1:13" x14ac:dyDescent="0.25">
      <c r="A32" s="20" t="s">
        <v>16</v>
      </c>
      <c r="B32" s="8"/>
      <c r="C32" s="8"/>
      <c r="D32" s="8"/>
      <c r="E32" s="8"/>
      <c r="F32" s="1">
        <f>VLOOKUP(C8,'3rd Term'!B9:AN48,28,FALSE)</f>
        <v>20</v>
      </c>
      <c r="G32" s="31">
        <f>VLOOKUP(C8,'3rd Term'!B9:AN48,29,FALSE)</f>
        <v>34</v>
      </c>
      <c r="H32" s="31">
        <f t="shared" si="1"/>
        <v>54</v>
      </c>
      <c r="I32" s="31">
        <f>(VLOOKUP(C8,'2nd Term'!B9:AN48,28,FALSE))+(VLOOKUP(C8,'2nd Term'!B9:AN48,29,FALSE))</f>
        <v>43</v>
      </c>
      <c r="J32" s="31">
        <f>(VLOOKUP($C$8,'1st Term'!$B$9:$AN$48,28,FALSE))+(VLOOKUP($C$8,'1st Term'!$B$9:$AN$48,29,FALSE))</f>
        <v>40</v>
      </c>
      <c r="K32" s="31">
        <f t="shared" si="2"/>
        <v>137</v>
      </c>
      <c r="L32" s="26">
        <f t="shared" si="0"/>
        <v>45.666666666666664</v>
      </c>
      <c r="M32" s="31" t="str">
        <f t="shared" si="3"/>
        <v>P</v>
      </c>
    </row>
    <row r="33" spans="1:13" x14ac:dyDescent="0.25">
      <c r="A33" s="20" t="s">
        <v>17</v>
      </c>
      <c r="B33" s="8"/>
      <c r="C33" s="8"/>
      <c r="D33" s="8"/>
      <c r="E33" s="8"/>
      <c r="F33" s="1">
        <f>VLOOKUP(C8,'3rd Term'!B9:AN48,30,FALSE)</f>
        <v>29</v>
      </c>
      <c r="G33" s="31">
        <f>VLOOKUP(C8,'3rd Term'!B9:AN48,31,FALSE)</f>
        <v>33</v>
      </c>
      <c r="H33" s="31">
        <f t="shared" si="1"/>
        <v>62</v>
      </c>
      <c r="I33" s="31">
        <f>(VLOOKUP(C8,'2nd Term'!B9:AN48,30,FALSE))+(VLOOKUP(C8,'2nd Term'!B9:AN48,31,FALSE))</f>
        <v>90</v>
      </c>
      <c r="J33" s="31">
        <f>(VLOOKUP($C$8,'1st Term'!$B$9:$AN$48,30,FALSE))+(VLOOKUP($C$8,'1st Term'!$B$9:$AN$48,31,FALSE))</f>
        <v>59</v>
      </c>
      <c r="K33" s="31">
        <f t="shared" si="2"/>
        <v>211</v>
      </c>
      <c r="L33" s="26">
        <f t="shared" si="0"/>
        <v>70.333333333333329</v>
      </c>
      <c r="M33" s="31" t="str">
        <f t="shared" si="3"/>
        <v>A</v>
      </c>
    </row>
    <row r="34" spans="1:13" x14ac:dyDescent="0.25">
      <c r="A34" s="20" t="s">
        <v>18</v>
      </c>
      <c r="B34" s="8"/>
      <c r="C34" s="8"/>
      <c r="D34" s="8"/>
      <c r="E34" s="8"/>
      <c r="F34" s="1">
        <f>VLOOKUP(C8,'3rd Term'!B9:AN48,32,FALSE)</f>
        <v>24</v>
      </c>
      <c r="G34" s="31">
        <f>VLOOKUP(C8,'3rd Term'!B9:AN48,33,FALSE)</f>
        <v>62</v>
      </c>
      <c r="H34" s="31">
        <f t="shared" si="1"/>
        <v>86</v>
      </c>
      <c r="I34" s="31">
        <f>(VLOOKUP(C8,'2nd Term'!B9:AN48,32,FALSE))+(VLOOKUP(C8,'2nd Term'!B9:AN48,33,FALSE))</f>
        <v>46</v>
      </c>
      <c r="J34" s="31">
        <f>(VLOOKUP($C$8,'1st Term'!$B$9:$AN$48,32,FALSE))+(VLOOKUP($C$8,'1st Term'!$B$9:$AN$48,33,FALSE))</f>
        <v>46</v>
      </c>
      <c r="K34" s="31">
        <f t="shared" si="2"/>
        <v>178</v>
      </c>
      <c r="L34" s="26">
        <f t="shared" si="0"/>
        <v>59.333333333333336</v>
      </c>
      <c r="M34" s="31" t="str">
        <f t="shared" si="3"/>
        <v>C</v>
      </c>
    </row>
    <row r="35" spans="1:13" x14ac:dyDescent="0.25">
      <c r="A35" s="20" t="s">
        <v>19</v>
      </c>
      <c r="B35" s="8"/>
      <c r="C35" s="8"/>
      <c r="D35" s="8"/>
      <c r="E35" s="8"/>
      <c r="F35" s="1">
        <f>VLOOKUP(C8,'3rd Term'!B9:AN48,34,FALSE)</f>
        <v>25</v>
      </c>
      <c r="G35" s="31">
        <f>VLOOKUP(C8,'3rd Term'!B9:AN48,35,FALSE)</f>
        <v>41</v>
      </c>
      <c r="H35" s="31">
        <f t="shared" si="1"/>
        <v>66</v>
      </c>
      <c r="I35" s="31">
        <f>(VLOOKUP(C8,'2nd Term'!B9:AN48,34,FALSE))+(VLOOKUP(C8,'2nd Term'!B9:AN48,35,FALSE))</f>
        <v>56</v>
      </c>
      <c r="J35" s="31">
        <f>(VLOOKUP($C$8,'1st Term'!$B$9:$AN$48,34,FALSE))+(VLOOKUP($C$8,'1st Term'!$B$9:$AN$48,35,FALSE))</f>
        <v>32</v>
      </c>
      <c r="K35" s="31">
        <f t="shared" si="2"/>
        <v>154</v>
      </c>
      <c r="L35" s="26">
        <f t="shared" si="0"/>
        <v>51.333333333333336</v>
      </c>
      <c r="M35" s="31" t="str">
        <f t="shared" si="3"/>
        <v>C</v>
      </c>
    </row>
    <row r="36" spans="1:13" x14ac:dyDescent="0.25">
      <c r="A36" s="20" t="s">
        <v>20</v>
      </c>
      <c r="B36" s="8"/>
      <c r="C36" s="8"/>
      <c r="D36" s="8"/>
      <c r="E36" s="8"/>
      <c r="F36" s="1">
        <f>VLOOKUP(C8,'3rd Term'!B9:AN48,36,FALSE)</f>
        <v>21</v>
      </c>
      <c r="G36" s="31">
        <f>VLOOKUP(C8,'3rd Term'!B9:AN48,37,FALSE)</f>
        <v>58</v>
      </c>
      <c r="H36" s="31">
        <f t="shared" si="1"/>
        <v>79</v>
      </c>
      <c r="I36" s="31">
        <f>(VLOOKUP(C8,'2nd Term'!B9:AN48,36,FALSE))+(VLOOKUP(C8,'2nd Term'!B9:AN48,37,FALSE))</f>
        <v>50</v>
      </c>
      <c r="J36" s="31">
        <f>(VLOOKUP($C$8,'1st Term'!$B$9:$AN$48,36,FALSE))+(VLOOKUP($C$8,'1st Term'!$B$9:$AN$48,37,FALSE))</f>
        <v>40</v>
      </c>
      <c r="K36" s="31">
        <f t="shared" si="2"/>
        <v>169</v>
      </c>
      <c r="L36" s="26">
        <f t="shared" si="0"/>
        <v>56.333333333333336</v>
      </c>
      <c r="M36" s="31" t="str">
        <f t="shared" si="3"/>
        <v>C</v>
      </c>
    </row>
    <row r="37" spans="1:13" x14ac:dyDescent="0.25">
      <c r="A37" s="18" t="s">
        <v>21</v>
      </c>
      <c r="B37" s="7"/>
      <c r="C37" s="7"/>
      <c r="D37" s="7"/>
      <c r="E37" s="7"/>
      <c r="F37" s="57">
        <f>VLOOKUP(C8,'3rd Term'!B9:AN48,38,FALSE)</f>
        <v>23</v>
      </c>
      <c r="G37" s="31">
        <f>VLOOKUP(C8,'3rd Term'!B9:AN48,39,FALSE)</f>
        <v>35</v>
      </c>
      <c r="H37" s="31">
        <f t="shared" si="1"/>
        <v>58</v>
      </c>
      <c r="I37" s="31">
        <f>(VLOOKUP(C8,'2nd Term'!B9:AN48,38,FALSE))+(VLOOKUP(C8,'2nd Term'!B9:AN48,39,FALSE))</f>
        <v>58</v>
      </c>
      <c r="J37" s="31">
        <f>(VLOOKUP($C$8,'1st Term'!$B$9:$AN$48,38,FALSE))+(VLOOKUP($C$8,'1st Term'!$B$9:$AN$48,39,FALSE))</f>
        <v>62</v>
      </c>
      <c r="K37" s="31">
        <f t="shared" si="2"/>
        <v>178</v>
      </c>
      <c r="L37" s="26">
        <f t="shared" si="0"/>
        <v>59.333333333333336</v>
      </c>
      <c r="M37" s="31" t="str">
        <f t="shared" si="3"/>
        <v>C</v>
      </c>
    </row>
    <row r="43" spans="1:13" x14ac:dyDescent="0.25">
      <c r="G43" s="110" t="s">
        <v>62</v>
      </c>
      <c r="H43" s="110"/>
      <c r="I43" s="110"/>
      <c r="J43" s="110"/>
      <c r="K43" s="110"/>
      <c r="L43" s="110"/>
      <c r="M43" s="110"/>
    </row>
    <row r="44" spans="1:13" x14ac:dyDescent="0.25">
      <c r="A44" s="77" t="s">
        <v>58</v>
      </c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</row>
    <row r="45" spans="1:13" ht="12.75" customHeight="1" x14ac:dyDescent="0.25">
      <c r="A45" s="50" t="str">
        <f>VLOOKUP(C8,comments!B8:X47,7,0)</f>
        <v>She is improving gradually but needs to participate more in class discussions.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</row>
    <row r="46" spans="1:13" x14ac:dyDescent="0.25">
      <c r="A46" s="50"/>
      <c r="B46" s="50"/>
      <c r="C46" s="50"/>
      <c r="D46" s="50"/>
      <c r="E46" s="50"/>
      <c r="F46" s="78"/>
      <c r="G46" s="78"/>
      <c r="H46" s="78"/>
      <c r="I46" s="78"/>
      <c r="J46" s="78"/>
      <c r="K46" s="78"/>
      <c r="L46" s="78"/>
      <c r="M46" s="78"/>
    </row>
    <row r="47" spans="1:13" x14ac:dyDescent="0.25">
      <c r="A47" s="79" t="s">
        <v>60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</row>
    <row r="48" spans="1:13" ht="12" customHeight="1" x14ac:dyDescent="0.25">
      <c r="A48" s="50" t="str">
        <f>VLOOKUP(C8,comments!B8:X47,14,0)</f>
        <v>Just fair. You can improve if only you will be more regular at school next term. Promoted to the Next Class.</v>
      </c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</row>
    <row r="49" spans="1:13" x14ac:dyDescent="0.25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</row>
    <row r="50" spans="1:13" x14ac:dyDescent="0.25">
      <c r="A50" s="79" t="s">
        <v>59</v>
      </c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</row>
    <row r="51" spans="1:13" ht="12" customHeight="1" x14ac:dyDescent="0.25">
      <c r="A51" s="78" t="s">
        <v>61</v>
      </c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</row>
  </sheetData>
  <sheetProtection algorithmName="SHA-512" hashValue="6EHyPZxoXuPNPpoTA1nLgxT6JUaNJXqQTTxgMXJ2pTxuPocYNB9KPbpJZZINkCcVH7FlDZj840kxbAaAnW5/EQ==" saltValue="MIIO4R9pjebhEQ+hA0h5OA==" spinCount="100000" sheet="1" scenarios="1"/>
  <mergeCells count="13">
    <mergeCell ref="I14:I17"/>
    <mergeCell ref="A18:B18"/>
    <mergeCell ref="G43:M43"/>
    <mergeCell ref="B1:M2"/>
    <mergeCell ref="B3:M3"/>
    <mergeCell ref="B4:M4"/>
    <mergeCell ref="B5:M6"/>
    <mergeCell ref="K7:M12"/>
    <mergeCell ref="A8:B8"/>
    <mergeCell ref="A9:B9"/>
    <mergeCell ref="A10:B10"/>
    <mergeCell ref="A11:B11"/>
    <mergeCell ref="A12:B12"/>
  </mergeCells>
  <conditionalFormatting sqref="M19:M37">
    <cfRule type="cellIs" dxfId="44" priority="3" operator="equal">
      <formula>"F"</formula>
    </cfRule>
    <cfRule type="cellIs" dxfId="43" priority="4" operator="equal">
      <formula>"P"</formula>
    </cfRule>
    <cfRule type="cellIs" dxfId="42" priority="5" operator="equal">
      <formula>"C"</formula>
    </cfRule>
    <cfRule type="cellIs" dxfId="41" priority="6" operator="equal">
      <formula>"A"</formula>
    </cfRule>
  </conditionalFormatting>
  <conditionalFormatting sqref="F19:J37">
    <cfRule type="cellIs" dxfId="40" priority="1" operator="equal">
      <formula>0</formula>
    </cfRule>
    <cfRule type="colorScale" priority="2">
      <colorScale>
        <cfvo type="min"/>
        <cfvo type="num" val="0"/>
        <color rgb="FFFF7128"/>
        <color theme="0"/>
      </colorScale>
    </cfRule>
  </conditionalFormatting>
  <dataValidations count="1">
    <dataValidation type="list" allowBlank="1" showInputMessage="1" showErrorMessage="1" sqref="M14:M17" xr:uid="{82D3CE2D-4103-4738-827E-90E33B5F45F4}">
      <formula1>"A,B,C,D,E"</formula1>
    </dataValidation>
  </dataValidations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79E62-4446-4011-8A81-B2E2E139742A}">
  <sheetPr>
    <tabColor rgb="FF7030A0"/>
  </sheetPr>
  <dimension ref="A1:M51"/>
  <sheetViews>
    <sheetView topLeftCell="A32" workbookViewId="0">
      <selection activeCell="B5" sqref="B5:M6"/>
    </sheetView>
  </sheetViews>
  <sheetFormatPr defaultRowHeight="15" x14ac:dyDescent="0.25"/>
  <cols>
    <col min="3" max="3" width="8.140625" customWidth="1"/>
    <col min="4" max="4" width="9.42578125" customWidth="1"/>
    <col min="5" max="5" width="10.5703125" customWidth="1"/>
    <col min="6" max="6" width="6.28515625" customWidth="1"/>
    <col min="7" max="8" width="5.85546875" customWidth="1"/>
    <col min="9" max="9" width="5.5703125" customWidth="1"/>
    <col min="10" max="11" width="5.28515625" customWidth="1"/>
    <col min="12" max="12" width="6.28515625" customWidth="1"/>
    <col min="13" max="13" width="5.7109375" customWidth="1"/>
  </cols>
  <sheetData>
    <row r="1" spans="1:13" ht="15" customHeight="1" x14ac:dyDescent="0.25">
      <c r="A1" s="10"/>
      <c r="B1" s="116" t="s">
        <v>185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</row>
    <row r="2" spans="1:13" ht="15" customHeight="1" x14ac:dyDescent="0.25">
      <c r="A2" s="10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</row>
    <row r="3" spans="1:13" ht="15.75" x14ac:dyDescent="0.25">
      <c r="A3" s="10"/>
      <c r="B3" s="117" t="s">
        <v>184</v>
      </c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</row>
    <row r="4" spans="1:13" ht="15.75" x14ac:dyDescent="0.25">
      <c r="A4" s="10"/>
      <c r="B4" s="118" t="s">
        <v>186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</row>
    <row r="5" spans="1:13" ht="15" customHeight="1" x14ac:dyDescent="0.25">
      <c r="A5" s="10"/>
      <c r="B5" s="119" t="s">
        <v>36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</row>
    <row r="6" spans="1:13" ht="15" customHeight="1" x14ac:dyDescent="0.25">
      <c r="A6" s="10"/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</row>
    <row r="7" spans="1:13" ht="15" customHeight="1" x14ac:dyDescent="0.25">
      <c r="I7" s="10"/>
      <c r="J7" s="10"/>
      <c r="K7" s="122" t="s">
        <v>105</v>
      </c>
      <c r="L7" s="122"/>
      <c r="M7" s="122"/>
    </row>
    <row r="8" spans="1:13" x14ac:dyDescent="0.25">
      <c r="A8" s="120" t="s">
        <v>37</v>
      </c>
      <c r="B8" s="120"/>
      <c r="C8" s="29" t="str">
        <f>('1st Term'!B23)</f>
        <v>KUFRE GOODNEWS</v>
      </c>
      <c r="D8" s="8"/>
      <c r="E8" s="8"/>
      <c r="F8" s="8"/>
      <c r="G8" s="8"/>
      <c r="H8" s="9"/>
      <c r="I8" s="10"/>
      <c r="J8" s="10"/>
      <c r="K8" s="122"/>
      <c r="L8" s="122"/>
      <c r="M8" s="122"/>
    </row>
    <row r="9" spans="1:13" x14ac:dyDescent="0.25">
      <c r="A9" s="121" t="s">
        <v>38</v>
      </c>
      <c r="B9" s="115"/>
      <c r="C9" s="29" t="str">
        <f>('1st Term'!B7)</f>
        <v>JSS 1A</v>
      </c>
      <c r="D9" s="8"/>
      <c r="E9" s="8"/>
      <c r="F9" s="8"/>
      <c r="G9" s="8"/>
      <c r="H9" s="9"/>
      <c r="I9" s="10"/>
      <c r="J9" s="10"/>
      <c r="K9" s="122"/>
      <c r="L9" s="122"/>
      <c r="M9" s="122"/>
    </row>
    <row r="10" spans="1:13" x14ac:dyDescent="0.25">
      <c r="A10" s="121" t="s">
        <v>39</v>
      </c>
      <c r="B10" s="115"/>
      <c r="C10" s="29" t="str">
        <f>(comments!C4)</f>
        <v>2025/2026</v>
      </c>
      <c r="D10" s="8"/>
      <c r="E10" s="8"/>
      <c r="F10" s="43"/>
      <c r="G10" s="43"/>
      <c r="H10" s="9"/>
      <c r="I10" s="10"/>
      <c r="J10" s="10"/>
      <c r="K10" s="122"/>
      <c r="L10" s="122"/>
      <c r="M10" s="122"/>
    </row>
    <row r="11" spans="1:13" x14ac:dyDescent="0.25">
      <c r="A11" s="121" t="s">
        <v>40</v>
      </c>
      <c r="B11" s="115"/>
      <c r="C11" s="30" t="str">
        <f>(comments!B5)</f>
        <v>THIRD TERM</v>
      </c>
      <c r="D11" s="7"/>
      <c r="E11" s="7"/>
      <c r="F11" s="13" t="s">
        <v>167</v>
      </c>
      <c r="G11" s="8"/>
      <c r="H11" s="53">
        <f>INDEX(comments!D8:D47,MATCH(sheet15!C8,comments!B8:B47,0))</f>
        <v>48.333333333333336</v>
      </c>
      <c r="I11" s="10"/>
      <c r="J11" s="10"/>
      <c r="K11" s="122"/>
      <c r="L11" s="122"/>
      <c r="M11" s="122"/>
    </row>
    <row r="12" spans="1:13" x14ac:dyDescent="0.25">
      <c r="A12" s="114" t="s">
        <v>41</v>
      </c>
      <c r="B12" s="115"/>
      <c r="C12" s="30" t="str">
        <f>(comments!E6)</f>
        <v>20TH APRIL 2026</v>
      </c>
      <c r="D12" s="7"/>
      <c r="E12" s="7"/>
      <c r="F12" s="13" t="s">
        <v>44</v>
      </c>
      <c r="G12" s="8"/>
      <c r="H12" s="51" t="str">
        <f>INDEX(comments!E8:E47,MATCH(sheet15!C8,comments!B8:B47,0))</f>
        <v>17th</v>
      </c>
      <c r="I12" s="10"/>
      <c r="J12" s="10"/>
      <c r="K12" s="123"/>
      <c r="L12" s="123"/>
      <c r="M12" s="123"/>
    </row>
    <row r="13" spans="1:13" x14ac:dyDescent="0.25">
      <c r="A13" s="48"/>
      <c r="B13" s="49"/>
      <c r="C13" s="50"/>
      <c r="F13" s="25"/>
      <c r="H13" s="52"/>
      <c r="I13" s="10"/>
      <c r="J13" s="10"/>
      <c r="K13" s="54"/>
      <c r="L13" s="54"/>
      <c r="M13" s="54"/>
    </row>
    <row r="14" spans="1:13" ht="16.5" customHeight="1" x14ac:dyDescent="0.25">
      <c r="A14" s="16" t="s">
        <v>48</v>
      </c>
      <c r="B14" s="8"/>
      <c r="C14" s="8"/>
      <c r="D14" s="13" t="s">
        <v>49</v>
      </c>
      <c r="E14" s="8"/>
      <c r="F14" s="8"/>
      <c r="G14" s="8"/>
      <c r="H14" s="15"/>
      <c r="I14" s="113" t="s">
        <v>50</v>
      </c>
      <c r="J14" s="45" t="s">
        <v>32</v>
      </c>
      <c r="K14" s="44"/>
      <c r="L14" s="17"/>
      <c r="M14" s="44" t="s">
        <v>52</v>
      </c>
    </row>
    <row r="15" spans="1:13" ht="21" customHeight="1" x14ac:dyDescent="0.25">
      <c r="A15" s="11" t="s">
        <v>46</v>
      </c>
      <c r="B15" s="7"/>
      <c r="C15" s="7"/>
      <c r="D15" s="55">
        <f>(comments!C6)</f>
        <v>110</v>
      </c>
      <c r="E15" s="8"/>
      <c r="F15" s="8"/>
      <c r="G15" s="8"/>
      <c r="H15" s="14"/>
      <c r="I15" s="113"/>
      <c r="J15" s="45" t="s">
        <v>33</v>
      </c>
      <c r="K15" s="44"/>
      <c r="L15" s="17"/>
      <c r="M15" s="44" t="s">
        <v>51</v>
      </c>
    </row>
    <row r="16" spans="1:13" ht="18.75" customHeight="1" x14ac:dyDescent="0.25">
      <c r="A16" s="12" t="s">
        <v>47</v>
      </c>
      <c r="B16" s="8"/>
      <c r="C16" s="8"/>
      <c r="D16" s="56">
        <f>VLOOKUP(C8,comments!B8:C47,2,FALSE)</f>
        <v>0</v>
      </c>
      <c r="E16" s="8"/>
      <c r="F16" s="8"/>
      <c r="G16" s="8"/>
      <c r="H16" s="14"/>
      <c r="I16" s="113"/>
      <c r="J16" s="45" t="s">
        <v>34</v>
      </c>
      <c r="K16" s="44"/>
      <c r="L16" s="17"/>
      <c r="M16" s="44" t="s">
        <v>51</v>
      </c>
    </row>
    <row r="17" spans="1:13" ht="17.25" customHeight="1" x14ac:dyDescent="0.25">
      <c r="A17" s="11" t="s">
        <v>45</v>
      </c>
      <c r="B17" s="7"/>
      <c r="C17" s="7"/>
      <c r="D17" s="56">
        <f>(comments!D6)</f>
        <v>22</v>
      </c>
      <c r="E17" s="8"/>
      <c r="F17" s="8"/>
      <c r="G17" s="8"/>
      <c r="H17" s="14"/>
      <c r="I17" s="113"/>
      <c r="J17" s="47" t="s">
        <v>35</v>
      </c>
      <c r="K17" s="46"/>
      <c r="L17" s="40"/>
      <c r="M17" s="44" t="s">
        <v>52</v>
      </c>
    </row>
    <row r="18" spans="1:13" ht="61.5" customHeight="1" x14ac:dyDescent="0.25">
      <c r="A18" s="111" t="s">
        <v>53</v>
      </c>
      <c r="B18" s="112"/>
      <c r="C18" s="19"/>
      <c r="D18" s="19"/>
      <c r="E18" s="19"/>
      <c r="F18" s="41" t="s">
        <v>172</v>
      </c>
      <c r="G18" s="41" t="s">
        <v>171</v>
      </c>
      <c r="H18" s="41" t="s">
        <v>173</v>
      </c>
      <c r="I18" s="42" t="s">
        <v>174</v>
      </c>
      <c r="J18" s="42" t="s">
        <v>175</v>
      </c>
      <c r="K18" s="41" t="s">
        <v>165</v>
      </c>
      <c r="L18" s="41" t="s">
        <v>166</v>
      </c>
      <c r="M18" s="41" t="s">
        <v>54</v>
      </c>
    </row>
    <row r="19" spans="1:13" ht="15" customHeight="1" x14ac:dyDescent="0.25">
      <c r="A19" s="20" t="s">
        <v>6</v>
      </c>
      <c r="B19" s="8"/>
      <c r="C19" s="8"/>
      <c r="D19" s="8"/>
      <c r="E19" s="8"/>
      <c r="F19" s="31">
        <f>VLOOKUP(C8,'3rd Term'!B9:AN48,2,FALSE)</f>
        <v>21</v>
      </c>
      <c r="G19" s="31">
        <f>VLOOKUP(C8,'3rd Term'!B9:AN48,3,FALSE)</f>
        <v>36</v>
      </c>
      <c r="H19" s="31">
        <f>SUM(F19:G19)</f>
        <v>57</v>
      </c>
      <c r="I19" s="5">
        <f>(VLOOKUP(C8,'2nd Term'!B9:AN48,2,FALSE))+(VLOOKUP(C8,'2nd Term'!B9:AN48,3,FALSE))</f>
        <v>58</v>
      </c>
      <c r="J19" s="31">
        <f>(VLOOKUP($C$8,'1st Term'!$B$9:$AN$48,2,FALSE))+(VLOOKUP($C$8,'1st Term'!$B$9:$AN$48,3,FALSE))</f>
        <v>49</v>
      </c>
      <c r="K19" s="31">
        <f>IF(SUM(H19:J19)=0,"-",SUM(H19:J19))</f>
        <v>164</v>
      </c>
      <c r="L19" s="26">
        <f t="shared" ref="L19:L37" si="0">IFERROR(((H19)+(I19)+(J19))/((--(H19&gt;0))+(--(I19&gt;0))+(--(J19&gt;0))),"-")</f>
        <v>54.666666666666664</v>
      </c>
      <c r="M19" s="31" t="str">
        <f>IF(L19="-","-",IF(L19&gt;=70,"A",IF(L19&gt;=50,"C",IF(L19&gt;=40,"P","F"))))</f>
        <v>C</v>
      </c>
    </row>
    <row r="20" spans="1:13" ht="15" customHeight="1" x14ac:dyDescent="0.25">
      <c r="A20" s="20" t="s">
        <v>3</v>
      </c>
      <c r="B20" s="8"/>
      <c r="C20" s="8"/>
      <c r="D20" s="8"/>
      <c r="E20" s="8"/>
      <c r="F20" s="1">
        <f>VLOOKUP(C8,'3rd Term'!B9:AN48,4,FALSE)</f>
        <v>20</v>
      </c>
      <c r="G20" s="31">
        <f>VLOOKUP(C8,'3rd Term'!B9:AN48,5,FALSE)</f>
        <v>48</v>
      </c>
      <c r="H20" s="31">
        <f t="shared" ref="H20:H37" si="1">SUM(F20:G20)</f>
        <v>68</v>
      </c>
      <c r="I20" s="31">
        <f>(VLOOKUP(C8,'2nd Term'!B9:AN48,4,FALSE))+(VLOOKUP(C8,'2nd Term'!B9:AN48,5,FALSE))</f>
        <v>64</v>
      </c>
      <c r="J20" s="31">
        <f>(VLOOKUP($C$8,'1st Term'!$B$9:$AN$48,4,FALSE))+(VLOOKUP($C$8,'1st Term'!$B$9:$AN$48,5,FALSE))</f>
        <v>50</v>
      </c>
      <c r="K20" s="31">
        <f t="shared" ref="K20:K37" si="2">IF(SUM(H20:J20)=0,"-",SUM(H20:J20))</f>
        <v>182</v>
      </c>
      <c r="L20" s="26">
        <f t="shared" si="0"/>
        <v>60.666666666666664</v>
      </c>
      <c r="M20" s="31" t="str">
        <f t="shared" ref="M20:M37" si="3">IF(L20="-","-",IF(L20&gt;=70,"A",IF(L20&gt;=50,"C",IF(L20&gt;=40,"P","F"))))</f>
        <v>C</v>
      </c>
    </row>
    <row r="21" spans="1:13" ht="15" customHeight="1" x14ac:dyDescent="0.25">
      <c r="A21" s="20" t="s">
        <v>4</v>
      </c>
      <c r="B21" s="8"/>
      <c r="C21" s="8"/>
      <c r="D21" s="8"/>
      <c r="E21" s="8"/>
      <c r="F21" s="1">
        <f>VLOOKUP(C8,'3rd Term'!B9:AN48,6,FALSE)</f>
        <v>11</v>
      </c>
      <c r="G21" s="31">
        <f>VLOOKUP(C8,'3rd Term'!B9:AN48,7,FALSE)</f>
        <v>46</v>
      </c>
      <c r="H21" s="31">
        <f t="shared" si="1"/>
        <v>57</v>
      </c>
      <c r="I21" s="31">
        <f>(VLOOKUP(C8,'2nd Term'!B9:AN48,6,FALSE))+(VLOOKUP(C8,'2nd Term'!B9:AN48,7,FALSE))</f>
        <v>91</v>
      </c>
      <c r="J21" s="31">
        <f>(VLOOKUP($C$8,'1st Term'!$B$9:$AN$48,6,FALSE))+(VLOOKUP($C$8,'1st Term'!$B$9:$AN$48,7,FALSE))</f>
        <v>25</v>
      </c>
      <c r="K21" s="31">
        <f t="shared" si="2"/>
        <v>173</v>
      </c>
      <c r="L21" s="26">
        <f t="shared" si="0"/>
        <v>57.666666666666664</v>
      </c>
      <c r="M21" s="31" t="str">
        <f t="shared" si="3"/>
        <v>C</v>
      </c>
    </row>
    <row r="22" spans="1:13" ht="15" customHeight="1" x14ac:dyDescent="0.25">
      <c r="A22" s="20" t="s">
        <v>5</v>
      </c>
      <c r="B22" s="8"/>
      <c r="C22" s="8"/>
      <c r="D22" s="8"/>
      <c r="E22" s="8"/>
      <c r="F22" s="1">
        <f>VLOOKUP(C8,'3rd Term'!B9:AN48,8,FALSE)</f>
        <v>21</v>
      </c>
      <c r="G22" s="31">
        <f>VLOOKUP(C8,'3rd Term'!B9:AN48,9,FALSE)</f>
        <v>44</v>
      </c>
      <c r="H22" s="31">
        <f t="shared" si="1"/>
        <v>65</v>
      </c>
      <c r="I22" s="31">
        <f>(VLOOKUP(C8,'2nd Term'!B9:AN48,8,FALSE))+(VLOOKUP(C8,'2nd Term'!B9:AN48,9,FALSE))</f>
        <v>36</v>
      </c>
      <c r="J22" s="31">
        <f>(VLOOKUP($C$8,'1st Term'!$B$9:$AN$48,8,FALSE))+(VLOOKUP($C$8,'1st Term'!$B$9:$AN$48,9,FALSE))</f>
        <v>36</v>
      </c>
      <c r="K22" s="31">
        <f t="shared" si="2"/>
        <v>137</v>
      </c>
      <c r="L22" s="26">
        <f t="shared" si="0"/>
        <v>45.666666666666664</v>
      </c>
      <c r="M22" s="31" t="str">
        <f t="shared" si="3"/>
        <v>P</v>
      </c>
    </row>
    <row r="23" spans="1:13" ht="15" customHeight="1" x14ac:dyDescent="0.25">
      <c r="A23" s="20" t="s">
        <v>7</v>
      </c>
      <c r="B23" s="8"/>
      <c r="C23" s="8"/>
      <c r="D23" s="8"/>
      <c r="E23" s="8"/>
      <c r="F23" s="1">
        <f>VLOOKUP(C8,'3rd Term'!B9:AN48,10,FALSE)</f>
        <v>18</v>
      </c>
      <c r="G23" s="31">
        <f>VLOOKUP(C8,'3rd Term'!B9:AN48,11,FALSE)</f>
        <v>30</v>
      </c>
      <c r="H23" s="31">
        <f t="shared" si="1"/>
        <v>48</v>
      </c>
      <c r="I23" s="31">
        <f>(VLOOKUP(C8,'2nd Term'!B9:AN48,10,FALSE))+(VLOOKUP(C8,'2nd Term'!B9:AN48,11,FALSE))</f>
        <v>35</v>
      </c>
      <c r="J23" s="31">
        <f>(VLOOKUP($C$8,'1st Term'!$B$9:$AN$48,10,FALSE))+(VLOOKUP($C$8,'1st Term'!$B$9:$AN$48,11,FALSE))</f>
        <v>40</v>
      </c>
      <c r="K23" s="31">
        <f t="shared" si="2"/>
        <v>123</v>
      </c>
      <c r="L23" s="26">
        <f t="shared" si="0"/>
        <v>41</v>
      </c>
      <c r="M23" s="31" t="str">
        <f t="shared" si="3"/>
        <v>P</v>
      </c>
    </row>
    <row r="24" spans="1:13" ht="15" customHeight="1" x14ac:dyDescent="0.25">
      <c r="A24" s="20" t="s">
        <v>8</v>
      </c>
      <c r="B24" s="8"/>
      <c r="C24" s="8"/>
      <c r="D24" s="8"/>
      <c r="E24" s="8"/>
      <c r="F24" s="1">
        <f>VLOOKUP(C8,'3rd Term'!B9:AN48,12,FALSE)</f>
        <v>15</v>
      </c>
      <c r="G24" s="31">
        <f>VLOOKUP(C8,'3rd Term'!B9:AN48,13,FALSE)</f>
        <v>40</v>
      </c>
      <c r="H24" s="31">
        <f t="shared" si="1"/>
        <v>55</v>
      </c>
      <c r="I24" s="31">
        <f>(VLOOKUP(C8,'2nd Term'!B9:AN48,12,FALSE))+(VLOOKUP(C8,'2nd Term'!B9:AN48,13,FALSE))</f>
        <v>29</v>
      </c>
      <c r="J24" s="31">
        <f>(VLOOKUP($C$8,'1st Term'!$B$9:$AN$48,12,FALSE))+(VLOOKUP($C$8,'1st Term'!$B$9:$AN$48,13,FALSE))</f>
        <v>29</v>
      </c>
      <c r="K24" s="31">
        <f t="shared" si="2"/>
        <v>113</v>
      </c>
      <c r="L24" s="26">
        <f t="shared" si="0"/>
        <v>37.666666666666664</v>
      </c>
      <c r="M24" s="31" t="str">
        <f t="shared" si="3"/>
        <v>F</v>
      </c>
    </row>
    <row r="25" spans="1:13" ht="15" customHeight="1" x14ac:dyDescent="0.25">
      <c r="A25" s="20" t="s">
        <v>9</v>
      </c>
      <c r="B25" s="8"/>
      <c r="C25" s="8"/>
      <c r="D25" s="8"/>
      <c r="E25" s="8"/>
      <c r="F25" s="1">
        <f>VLOOKUP(C8,'3rd Term'!B9:AN48,14,FALSE)</f>
        <v>25</v>
      </c>
      <c r="G25" s="31">
        <f>VLOOKUP(C8,'3rd Term'!B9:AN48,15,FALSE)</f>
        <v>50</v>
      </c>
      <c r="H25" s="31">
        <f t="shared" si="1"/>
        <v>75</v>
      </c>
      <c r="I25" s="31">
        <f>(VLOOKUP(C8,'2nd Term'!B9:AN48,14,FALSE))+(VLOOKUP(C8,'2nd Term'!B9:AN48,15,FALSE))</f>
        <v>49</v>
      </c>
      <c r="J25" s="31">
        <f>(VLOOKUP($C$8,'1st Term'!$B$9:$AN$48,14,FALSE))+(VLOOKUP($C$8,'1st Term'!$B$9:$AN$48,15,FALSE))</f>
        <v>34</v>
      </c>
      <c r="K25" s="31">
        <f t="shared" si="2"/>
        <v>158</v>
      </c>
      <c r="L25" s="26">
        <f t="shared" si="0"/>
        <v>52.666666666666664</v>
      </c>
      <c r="M25" s="31" t="str">
        <f t="shared" si="3"/>
        <v>C</v>
      </c>
    </row>
    <row r="26" spans="1:13" ht="15" customHeight="1" x14ac:dyDescent="0.25">
      <c r="A26" s="20" t="s">
        <v>10</v>
      </c>
      <c r="B26" s="8"/>
      <c r="C26" s="8"/>
      <c r="D26" s="8"/>
      <c r="E26" s="8"/>
      <c r="F26" s="1">
        <f>VLOOKUP(C8,'3rd Term'!B9:AN48,16,FALSE)</f>
        <v>18</v>
      </c>
      <c r="G26" s="31">
        <f>VLOOKUP(C8,'3rd Term'!B9:AN48,17,FALSE)</f>
        <v>31</v>
      </c>
      <c r="H26" s="31">
        <f t="shared" si="1"/>
        <v>49</v>
      </c>
      <c r="I26" s="31">
        <f>(VLOOKUP(C8,'2nd Term'!B9:AN48,16,FALSE))+(VLOOKUP(C8,'2nd Term'!B9:AN48,17,FALSE))</f>
        <v>46</v>
      </c>
      <c r="J26" s="31">
        <f>(VLOOKUP($C$8,'1st Term'!$B$9:$AN$48,16,FALSE))+(VLOOKUP($C$8,'1st Term'!$B$9:$AN$48,17,FALSE))</f>
        <v>40</v>
      </c>
      <c r="K26" s="31">
        <f t="shared" si="2"/>
        <v>135</v>
      </c>
      <c r="L26" s="26">
        <f t="shared" si="0"/>
        <v>45</v>
      </c>
      <c r="M26" s="31" t="str">
        <f t="shared" si="3"/>
        <v>P</v>
      </c>
    </row>
    <row r="27" spans="1:13" ht="15" hidden="1" customHeight="1" x14ac:dyDescent="0.25">
      <c r="A27" s="20" t="s">
        <v>11</v>
      </c>
      <c r="B27" s="8"/>
      <c r="C27" s="8"/>
      <c r="D27" s="8"/>
      <c r="E27" s="8"/>
      <c r="F27" s="1">
        <f>VLOOKUP(C8,'3rd Term'!B9:AN48,18,FALSE)</f>
        <v>0</v>
      </c>
      <c r="G27" s="31">
        <f>VLOOKUP(C8,'3rd Term'!B9:AN48,19,FALSE)</f>
        <v>0</v>
      </c>
      <c r="H27" s="31">
        <f t="shared" si="1"/>
        <v>0</v>
      </c>
      <c r="I27" s="31">
        <f>(VLOOKUP(C8,'2nd Term'!B9:AN48,18,FALSE))+(VLOOKUP(C8,'2nd Term'!B9:AN48,19,FALSE))</f>
        <v>0</v>
      </c>
      <c r="J27" s="31">
        <f>(VLOOKUP($C$8,'1st Term'!$B$9:$AN$48,18,FALSE))+(VLOOKUP($C$8,'1st Term'!$B$9:$AN$48,19,FALSE))</f>
        <v>0</v>
      </c>
      <c r="K27" s="31" t="str">
        <f t="shared" si="2"/>
        <v>-</v>
      </c>
      <c r="L27" s="26" t="str">
        <f t="shared" si="0"/>
        <v>-</v>
      </c>
      <c r="M27" s="31" t="str">
        <f t="shared" si="3"/>
        <v>-</v>
      </c>
    </row>
    <row r="28" spans="1:13" ht="15" customHeight="1" x14ac:dyDescent="0.25">
      <c r="A28" s="20" t="s">
        <v>13</v>
      </c>
      <c r="B28" s="8"/>
      <c r="C28" s="8"/>
      <c r="D28" s="8"/>
      <c r="E28" s="8"/>
      <c r="F28" s="1">
        <f>VLOOKUP(C8,'3rd Term'!B9:AN48,20,FALSE)</f>
        <v>13</v>
      </c>
      <c r="G28" s="31">
        <f>VLOOKUP(C8,'3rd Term'!B9:AN48,21,FALSE)</f>
        <v>53</v>
      </c>
      <c r="H28" s="31">
        <f t="shared" si="1"/>
        <v>66</v>
      </c>
      <c r="I28" s="31">
        <f>(VLOOKUP(C8,'2nd Term'!B9:AN48,20,FALSE))+(VLOOKUP(C8,'2nd Term'!B9:AN48,21,FALSE))</f>
        <v>57</v>
      </c>
      <c r="J28" s="31">
        <f>(VLOOKUP($C$8,'1st Term'!$B$9:$AN$48,20,FALSE))+(VLOOKUP($C$8,'1st Term'!$B$9:$AN$48,21,FALSE))</f>
        <v>45</v>
      </c>
      <c r="K28" s="31">
        <f t="shared" si="2"/>
        <v>168</v>
      </c>
      <c r="L28" s="26">
        <f t="shared" si="0"/>
        <v>56</v>
      </c>
      <c r="M28" s="31" t="str">
        <f t="shared" si="3"/>
        <v>C</v>
      </c>
    </row>
    <row r="29" spans="1:13" x14ac:dyDescent="0.25">
      <c r="A29" s="20" t="s">
        <v>14</v>
      </c>
      <c r="B29" s="8"/>
      <c r="C29" s="8"/>
      <c r="D29" s="8"/>
      <c r="E29" s="8"/>
      <c r="F29" s="1">
        <f>VLOOKUP(C8,'3rd Term'!B9:AN48,22,FALSE)</f>
        <v>24</v>
      </c>
      <c r="G29" s="31">
        <f>VLOOKUP(C8,'3rd Term'!B9:AN48,23,FALSE)</f>
        <v>63</v>
      </c>
      <c r="H29" s="31">
        <f t="shared" si="1"/>
        <v>87</v>
      </c>
      <c r="I29" s="31">
        <f>(VLOOKUP(C8,'2nd Term'!B9:AN48,22,FALSE))+(VLOOKUP(C8,'2nd Term'!B9:AN48,23,FALSE))</f>
        <v>55</v>
      </c>
      <c r="J29" s="31">
        <f>(VLOOKUP($C$8,'1st Term'!$B$9:$AN$48,22,FALSE))+(VLOOKUP($C$8,'1st Term'!$B$9:$AN$48,23,FALSE))</f>
        <v>51</v>
      </c>
      <c r="K29" s="31">
        <f t="shared" si="2"/>
        <v>193</v>
      </c>
      <c r="L29" s="26">
        <f t="shared" si="0"/>
        <v>64.333333333333329</v>
      </c>
      <c r="M29" s="31" t="str">
        <f t="shared" si="3"/>
        <v>C</v>
      </c>
    </row>
    <row r="30" spans="1:13" x14ac:dyDescent="0.25">
      <c r="A30" s="20" t="s">
        <v>15</v>
      </c>
      <c r="B30" s="8"/>
      <c r="C30" s="8"/>
      <c r="D30" s="8"/>
      <c r="E30" s="8"/>
      <c r="F30" s="1">
        <f>VLOOKUP(C8,'3rd Term'!B9:AN48,24,FALSE)</f>
        <v>26</v>
      </c>
      <c r="G30" s="31">
        <f>VLOOKUP(C8,'3rd Term'!B9:AN48,25,FALSE)</f>
        <v>34</v>
      </c>
      <c r="H30" s="31">
        <f t="shared" si="1"/>
        <v>60</v>
      </c>
      <c r="I30" s="31">
        <f>(VLOOKUP(C8,'2nd Term'!B9:AN48,24,FALSE))+(VLOOKUP(C8,'2nd Term'!B9:AN48,25,FALSE))</f>
        <v>50</v>
      </c>
      <c r="J30" s="31">
        <f>(VLOOKUP($C$8,'1st Term'!$B$9:$AN$48,24,FALSE))+(VLOOKUP($C$8,'1st Term'!$B$9:$AN$48,25,FALSE))</f>
        <v>48</v>
      </c>
      <c r="K30" s="31">
        <f t="shared" si="2"/>
        <v>158</v>
      </c>
      <c r="L30" s="26">
        <f t="shared" si="0"/>
        <v>52.666666666666664</v>
      </c>
      <c r="M30" s="31" t="str">
        <f t="shared" si="3"/>
        <v>C</v>
      </c>
    </row>
    <row r="31" spans="1:13" hidden="1" x14ac:dyDescent="0.25">
      <c r="A31" s="20" t="s">
        <v>22</v>
      </c>
      <c r="B31" s="8"/>
      <c r="C31" s="8"/>
      <c r="D31" s="8"/>
      <c r="E31" s="8"/>
      <c r="F31" s="1">
        <f>VLOOKUP(C8,'3rd Term'!B9:AN48,26,FALSE)</f>
        <v>0</v>
      </c>
      <c r="G31" s="31">
        <f>VLOOKUP(C8,'3rd Term'!B9:AN48,27,FALSE)</f>
        <v>0</v>
      </c>
      <c r="H31" s="31">
        <f t="shared" si="1"/>
        <v>0</v>
      </c>
      <c r="I31" s="31">
        <f>(VLOOKUP(C8,'2nd Term'!B9:AN48,26,FALSE))+(VLOOKUP(C8,'2nd Term'!B9:AN48,27,FALSE))</f>
        <v>0</v>
      </c>
      <c r="J31" s="31">
        <f>(VLOOKUP($C$8,'1st Term'!$B$9:$AN$48,26,FALSE))+(VLOOKUP($C$8,'1st Term'!$B$9:$AN$48,27,FALSE))</f>
        <v>0</v>
      </c>
      <c r="K31" s="31" t="str">
        <f t="shared" si="2"/>
        <v>-</v>
      </c>
      <c r="L31" s="26" t="str">
        <f t="shared" si="0"/>
        <v>-</v>
      </c>
      <c r="M31" s="31" t="str">
        <f t="shared" si="3"/>
        <v>-</v>
      </c>
    </row>
    <row r="32" spans="1:13" x14ac:dyDescent="0.25">
      <c r="A32" s="20" t="s">
        <v>16</v>
      </c>
      <c r="B32" s="8"/>
      <c r="C32" s="8"/>
      <c r="D32" s="8"/>
      <c r="E32" s="8"/>
      <c r="F32" s="1">
        <f>VLOOKUP(C8,'3rd Term'!B9:AN48,28,FALSE)</f>
        <v>15</v>
      </c>
      <c r="G32" s="31">
        <f>VLOOKUP(C8,'3rd Term'!B9:AN48,29,FALSE)</f>
        <v>30</v>
      </c>
      <c r="H32" s="31">
        <f t="shared" si="1"/>
        <v>45</v>
      </c>
      <c r="I32" s="31">
        <f>(VLOOKUP(C8,'2nd Term'!B9:AN48,28,FALSE))+(VLOOKUP(C8,'2nd Term'!B9:AN48,29,FALSE))</f>
        <v>42</v>
      </c>
      <c r="J32" s="31">
        <f>(VLOOKUP($C$8,'1st Term'!$B$9:$AN$48,28,FALSE))+(VLOOKUP($C$8,'1st Term'!$B$9:$AN$48,29,FALSE))</f>
        <v>40</v>
      </c>
      <c r="K32" s="31">
        <f t="shared" si="2"/>
        <v>127</v>
      </c>
      <c r="L32" s="26">
        <f t="shared" si="0"/>
        <v>42.333333333333336</v>
      </c>
      <c r="M32" s="31" t="str">
        <f t="shared" si="3"/>
        <v>P</v>
      </c>
    </row>
    <row r="33" spans="1:13" x14ac:dyDescent="0.25">
      <c r="A33" s="20" t="s">
        <v>17</v>
      </c>
      <c r="B33" s="8"/>
      <c r="C33" s="8"/>
      <c r="D33" s="8"/>
      <c r="E33" s="8"/>
      <c r="F33" s="1">
        <f>VLOOKUP(C8,'3rd Term'!B9:AN48,30,FALSE)</f>
        <v>28</v>
      </c>
      <c r="G33" s="31">
        <f>VLOOKUP(C8,'3rd Term'!B9:AN48,31,FALSE)</f>
        <v>40</v>
      </c>
      <c r="H33" s="31">
        <f t="shared" si="1"/>
        <v>68</v>
      </c>
      <c r="I33" s="31">
        <f>(VLOOKUP(C8,'2nd Term'!B9:AN48,30,FALSE))+(VLOOKUP(C8,'2nd Term'!B9:AN48,31,FALSE))</f>
        <v>30</v>
      </c>
      <c r="J33" s="31">
        <f>(VLOOKUP($C$8,'1st Term'!$B$9:$AN$48,30,FALSE))+(VLOOKUP($C$8,'1st Term'!$B$9:$AN$48,31,FALSE))</f>
        <v>29</v>
      </c>
      <c r="K33" s="31">
        <f t="shared" si="2"/>
        <v>127</v>
      </c>
      <c r="L33" s="26">
        <f t="shared" si="0"/>
        <v>42.333333333333336</v>
      </c>
      <c r="M33" s="31" t="str">
        <f t="shared" si="3"/>
        <v>P</v>
      </c>
    </row>
    <row r="34" spans="1:13" x14ac:dyDescent="0.25">
      <c r="A34" s="20" t="s">
        <v>18</v>
      </c>
      <c r="B34" s="8"/>
      <c r="C34" s="8"/>
      <c r="D34" s="8"/>
      <c r="E34" s="8"/>
      <c r="F34" s="1">
        <f>VLOOKUP(C8,'3rd Term'!B9:AN48,32,FALSE)</f>
        <v>21</v>
      </c>
      <c r="G34" s="31">
        <f>VLOOKUP(C8,'3rd Term'!B9:AN48,33,FALSE)</f>
        <v>24</v>
      </c>
      <c r="H34" s="31">
        <f t="shared" si="1"/>
        <v>45</v>
      </c>
      <c r="I34" s="31">
        <f>(VLOOKUP(C8,'2nd Term'!B9:AN48,32,FALSE))+(VLOOKUP(C8,'2nd Term'!B9:AN48,33,FALSE))</f>
        <v>64</v>
      </c>
      <c r="J34" s="31">
        <f>(VLOOKUP($C$8,'1st Term'!$B$9:$AN$48,32,FALSE))+(VLOOKUP($C$8,'1st Term'!$B$9:$AN$48,33,FALSE))</f>
        <v>29</v>
      </c>
      <c r="K34" s="31">
        <f t="shared" si="2"/>
        <v>138</v>
      </c>
      <c r="L34" s="26">
        <f t="shared" si="0"/>
        <v>46</v>
      </c>
      <c r="M34" s="31" t="str">
        <f t="shared" si="3"/>
        <v>P</v>
      </c>
    </row>
    <row r="35" spans="1:13" x14ac:dyDescent="0.25">
      <c r="A35" s="20" t="s">
        <v>19</v>
      </c>
      <c r="B35" s="8"/>
      <c r="C35" s="8"/>
      <c r="D35" s="8"/>
      <c r="E35" s="8"/>
      <c r="F35" s="1">
        <f>VLOOKUP(C8,'3rd Term'!B9:AN48,34,FALSE)</f>
        <v>17</v>
      </c>
      <c r="G35" s="31">
        <f>VLOOKUP(C8,'3rd Term'!B9:AN48,35,FALSE)</f>
        <v>30</v>
      </c>
      <c r="H35" s="31">
        <f t="shared" si="1"/>
        <v>47</v>
      </c>
      <c r="I35" s="31">
        <f>(VLOOKUP(C8,'2nd Term'!B9:AN48,34,FALSE))+(VLOOKUP(C8,'2nd Term'!B9:AN48,35,FALSE))</f>
        <v>45</v>
      </c>
      <c r="J35" s="31">
        <f>(VLOOKUP($C$8,'1st Term'!$B$9:$AN$48,34,FALSE))+(VLOOKUP($C$8,'1st Term'!$B$9:$AN$48,35,FALSE))</f>
        <v>18</v>
      </c>
      <c r="K35" s="31">
        <f t="shared" si="2"/>
        <v>110</v>
      </c>
      <c r="L35" s="26">
        <f t="shared" si="0"/>
        <v>36.666666666666664</v>
      </c>
      <c r="M35" s="31" t="str">
        <f t="shared" si="3"/>
        <v>F</v>
      </c>
    </row>
    <row r="36" spans="1:13" x14ac:dyDescent="0.25">
      <c r="A36" s="20" t="s">
        <v>20</v>
      </c>
      <c r="B36" s="8"/>
      <c r="C36" s="8"/>
      <c r="D36" s="8"/>
      <c r="E36" s="8"/>
      <c r="F36" s="1">
        <f>VLOOKUP(C8,'3rd Term'!B9:AN48,36,FALSE)</f>
        <v>22</v>
      </c>
      <c r="G36" s="31">
        <f>VLOOKUP(C8,'3rd Term'!B9:AN48,37,FALSE)</f>
        <v>46</v>
      </c>
      <c r="H36" s="31">
        <f t="shared" si="1"/>
        <v>68</v>
      </c>
      <c r="I36" s="31">
        <f>(VLOOKUP(C8,'2nd Term'!B9:AN48,36,FALSE))+(VLOOKUP(C8,'2nd Term'!B9:AN48,37,FALSE))</f>
        <v>45</v>
      </c>
      <c r="J36" s="31">
        <f>(VLOOKUP($C$8,'1st Term'!$B$9:$AN$48,36,FALSE))+(VLOOKUP($C$8,'1st Term'!$B$9:$AN$48,37,FALSE))</f>
        <v>27</v>
      </c>
      <c r="K36" s="31">
        <f t="shared" si="2"/>
        <v>140</v>
      </c>
      <c r="L36" s="26">
        <f t="shared" si="0"/>
        <v>46.666666666666664</v>
      </c>
      <c r="M36" s="31" t="str">
        <f t="shared" si="3"/>
        <v>P</v>
      </c>
    </row>
    <row r="37" spans="1:13" x14ac:dyDescent="0.25">
      <c r="A37" s="18" t="s">
        <v>21</v>
      </c>
      <c r="B37" s="7"/>
      <c r="C37" s="7"/>
      <c r="D37" s="7"/>
      <c r="E37" s="7"/>
      <c r="F37" s="57">
        <f>VLOOKUP(C8,'3rd Term'!B9:AN48,38,FALSE)</f>
        <v>9</v>
      </c>
      <c r="G37" s="31">
        <f>VLOOKUP(C8,'3rd Term'!B9:AN48,39,FALSE)</f>
        <v>31</v>
      </c>
      <c r="H37" s="31">
        <f t="shared" si="1"/>
        <v>40</v>
      </c>
      <c r="I37" s="31">
        <f>(VLOOKUP(C8,'2nd Term'!B9:AN48,38,FALSE))+(VLOOKUP(C8,'2nd Term'!B9:AN48,39,FALSE))</f>
        <v>37</v>
      </c>
      <c r="J37" s="31">
        <f>(VLOOKUP($C$8,'1st Term'!$B$9:$AN$48,38,FALSE))+(VLOOKUP($C$8,'1st Term'!$B$9:$AN$48,39,FALSE))</f>
        <v>42</v>
      </c>
      <c r="K37" s="31">
        <f t="shared" si="2"/>
        <v>119</v>
      </c>
      <c r="L37" s="26">
        <f t="shared" si="0"/>
        <v>39.666666666666664</v>
      </c>
      <c r="M37" s="31" t="str">
        <f t="shared" si="3"/>
        <v>F</v>
      </c>
    </row>
    <row r="43" spans="1:13" x14ac:dyDescent="0.25">
      <c r="G43" s="110" t="s">
        <v>62</v>
      </c>
      <c r="H43" s="110"/>
      <c r="I43" s="110"/>
      <c r="J43" s="110"/>
      <c r="K43" s="110"/>
      <c r="L43" s="110"/>
      <c r="M43" s="110"/>
    </row>
    <row r="44" spans="1:13" x14ac:dyDescent="0.25">
      <c r="A44" s="77" t="s">
        <v>58</v>
      </c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</row>
    <row r="45" spans="1:13" ht="12.75" customHeight="1" x14ac:dyDescent="0.25">
      <c r="A45" s="50" t="str">
        <f>VLOOKUP(C8,comments!B8:X47,7,0)</f>
        <v>She is improving gradually but needs to participate more in class discussions.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</row>
    <row r="46" spans="1:13" x14ac:dyDescent="0.25">
      <c r="A46" s="50"/>
      <c r="B46" s="50"/>
      <c r="C46" s="50"/>
      <c r="D46" s="50"/>
      <c r="E46" s="50"/>
      <c r="F46" s="78"/>
      <c r="G46" s="78"/>
      <c r="H46" s="78"/>
      <c r="I46" s="78"/>
      <c r="J46" s="78"/>
      <c r="K46" s="78"/>
      <c r="L46" s="78"/>
      <c r="M46" s="78"/>
    </row>
    <row r="47" spans="1:13" x14ac:dyDescent="0.25">
      <c r="A47" s="79" t="s">
        <v>60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</row>
    <row r="48" spans="1:13" ht="12" customHeight="1" x14ac:dyDescent="0.25">
      <c r="A48" s="50" t="str">
        <f>VLOOKUP(C8,comments!B8:X47,14,0)</f>
        <v>Just fair. You can improve if only you will be more regular at school next term. Promoted to the Next Class.</v>
      </c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</row>
    <row r="49" spans="1:13" x14ac:dyDescent="0.25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</row>
    <row r="50" spans="1:13" x14ac:dyDescent="0.25">
      <c r="A50" s="79" t="s">
        <v>59</v>
      </c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</row>
    <row r="51" spans="1:13" ht="12" customHeight="1" x14ac:dyDescent="0.25">
      <c r="A51" s="78" t="s">
        <v>61</v>
      </c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</row>
  </sheetData>
  <sheetProtection algorithmName="SHA-512" hashValue="XODSPLSIs/emkY3XIf8fjJlzt2tnXlMH6NhPCbF+HWj6ypdNHeuzHeBpcAWjKYWiwWbtiTrAnOgPpVAwEPW/iA==" saltValue="k69egq90FHOcyN0ySa+S1w==" spinCount="100000" sheet="1" scenarios="1"/>
  <mergeCells count="13">
    <mergeCell ref="I14:I17"/>
    <mergeCell ref="A18:B18"/>
    <mergeCell ref="G43:M43"/>
    <mergeCell ref="B1:M2"/>
    <mergeCell ref="B3:M3"/>
    <mergeCell ref="B4:M4"/>
    <mergeCell ref="B5:M6"/>
    <mergeCell ref="K7:M12"/>
    <mergeCell ref="A8:B8"/>
    <mergeCell ref="A9:B9"/>
    <mergeCell ref="A10:B10"/>
    <mergeCell ref="A11:B11"/>
    <mergeCell ref="A12:B12"/>
  </mergeCells>
  <conditionalFormatting sqref="M19:M37">
    <cfRule type="cellIs" dxfId="39" priority="3" operator="equal">
      <formula>"F"</formula>
    </cfRule>
    <cfRule type="cellIs" dxfId="38" priority="4" operator="equal">
      <formula>"P"</formula>
    </cfRule>
    <cfRule type="cellIs" dxfId="37" priority="5" operator="equal">
      <formula>"C"</formula>
    </cfRule>
    <cfRule type="cellIs" dxfId="36" priority="6" operator="equal">
      <formula>"A"</formula>
    </cfRule>
  </conditionalFormatting>
  <conditionalFormatting sqref="F19:J37">
    <cfRule type="cellIs" dxfId="35" priority="1" operator="equal">
      <formula>0</formula>
    </cfRule>
    <cfRule type="colorScale" priority="2">
      <colorScale>
        <cfvo type="min"/>
        <cfvo type="num" val="0"/>
        <color rgb="FFFF7128"/>
        <color theme="0"/>
      </colorScale>
    </cfRule>
  </conditionalFormatting>
  <dataValidations count="1">
    <dataValidation type="list" allowBlank="1" showInputMessage="1" showErrorMessage="1" sqref="M14:M17" xr:uid="{2E534CEB-1E4B-4243-969E-B543E70F2060}">
      <formula1>"A,B,C,D,E"</formula1>
    </dataValidation>
  </dataValidations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B014F-F09D-41D9-84D8-6EA7E91AEAA5}">
  <sheetPr>
    <tabColor rgb="FF7030A0"/>
  </sheetPr>
  <dimension ref="A1:M51"/>
  <sheetViews>
    <sheetView topLeftCell="A29" workbookViewId="0">
      <selection activeCell="K41" sqref="K41"/>
    </sheetView>
  </sheetViews>
  <sheetFormatPr defaultRowHeight="15" x14ac:dyDescent="0.25"/>
  <cols>
    <col min="3" max="3" width="8.140625" customWidth="1"/>
    <col min="4" max="4" width="9.42578125" customWidth="1"/>
    <col min="5" max="5" width="10.5703125" customWidth="1"/>
    <col min="6" max="6" width="6.28515625" customWidth="1"/>
    <col min="7" max="8" width="5.85546875" customWidth="1"/>
    <col min="9" max="9" width="5.5703125" customWidth="1"/>
    <col min="10" max="11" width="5.28515625" customWidth="1"/>
    <col min="12" max="12" width="6.28515625" customWidth="1"/>
    <col min="13" max="13" width="5.7109375" customWidth="1"/>
  </cols>
  <sheetData>
    <row r="1" spans="1:13" ht="15" customHeight="1" x14ac:dyDescent="0.25">
      <c r="A1" s="10"/>
      <c r="B1" s="116" t="s">
        <v>185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</row>
    <row r="2" spans="1:13" ht="15" customHeight="1" x14ac:dyDescent="0.25">
      <c r="A2" s="10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</row>
    <row r="3" spans="1:13" ht="15.75" x14ac:dyDescent="0.25">
      <c r="A3" s="10"/>
      <c r="B3" s="117" t="s">
        <v>184</v>
      </c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</row>
    <row r="4" spans="1:13" ht="15.75" x14ac:dyDescent="0.25">
      <c r="A4" s="10"/>
      <c r="B4" s="118" t="s">
        <v>186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</row>
    <row r="5" spans="1:13" ht="15" customHeight="1" x14ac:dyDescent="0.25">
      <c r="A5" s="10"/>
      <c r="B5" s="119" t="s">
        <v>36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</row>
    <row r="6" spans="1:13" ht="15" customHeight="1" x14ac:dyDescent="0.25">
      <c r="A6" s="10"/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</row>
    <row r="7" spans="1:13" ht="15" customHeight="1" x14ac:dyDescent="0.25">
      <c r="I7" s="10"/>
      <c r="J7" s="10"/>
      <c r="K7" s="122" t="s">
        <v>105</v>
      </c>
      <c r="L7" s="122"/>
      <c r="M7" s="122"/>
    </row>
    <row r="8" spans="1:13" x14ac:dyDescent="0.25">
      <c r="A8" s="120" t="s">
        <v>37</v>
      </c>
      <c r="B8" s="120"/>
      <c r="C8" s="29" t="str">
        <f>('1st Term'!B24)</f>
        <v>NWABUEZE FAVOUR</v>
      </c>
      <c r="D8" s="8"/>
      <c r="E8" s="8"/>
      <c r="F8" s="8"/>
      <c r="G8" s="8"/>
      <c r="H8" s="9"/>
      <c r="I8" s="10"/>
      <c r="J8" s="10"/>
      <c r="K8" s="122"/>
      <c r="L8" s="122"/>
      <c r="M8" s="122"/>
    </row>
    <row r="9" spans="1:13" x14ac:dyDescent="0.25">
      <c r="A9" s="121" t="s">
        <v>38</v>
      </c>
      <c r="B9" s="115"/>
      <c r="C9" s="29" t="str">
        <f>('1st Term'!B7)</f>
        <v>JSS 1A</v>
      </c>
      <c r="D9" s="8"/>
      <c r="E9" s="8"/>
      <c r="F9" s="8"/>
      <c r="G9" s="8"/>
      <c r="H9" s="9"/>
      <c r="I9" s="10"/>
      <c r="J9" s="10"/>
      <c r="K9" s="122"/>
      <c r="L9" s="122"/>
      <c r="M9" s="122"/>
    </row>
    <row r="10" spans="1:13" x14ac:dyDescent="0.25">
      <c r="A10" s="121" t="s">
        <v>39</v>
      </c>
      <c r="B10" s="115"/>
      <c r="C10" s="29" t="str">
        <f>(comments!C4)</f>
        <v>2025/2026</v>
      </c>
      <c r="D10" s="8"/>
      <c r="E10" s="8"/>
      <c r="F10" s="43"/>
      <c r="G10" s="43"/>
      <c r="H10" s="9"/>
      <c r="I10" s="10"/>
      <c r="J10" s="10"/>
      <c r="K10" s="122"/>
      <c r="L10" s="122"/>
      <c r="M10" s="122"/>
    </row>
    <row r="11" spans="1:13" x14ac:dyDescent="0.25">
      <c r="A11" s="121" t="s">
        <v>40</v>
      </c>
      <c r="B11" s="115"/>
      <c r="C11" s="30" t="str">
        <f>(comments!B5)</f>
        <v>THIRD TERM</v>
      </c>
      <c r="D11" s="7"/>
      <c r="E11" s="7"/>
      <c r="F11" s="13" t="s">
        <v>167</v>
      </c>
      <c r="G11" s="8"/>
      <c r="H11" s="53">
        <f>INDEX(comments!D8:D47,MATCH(sheet16!C8,comments!B8:B47,0))</f>
        <v>68.901960784313729</v>
      </c>
      <c r="I11" s="10"/>
      <c r="J11" s="10"/>
      <c r="K11" s="122"/>
      <c r="L11" s="122"/>
      <c r="M11" s="122"/>
    </row>
    <row r="12" spans="1:13" x14ac:dyDescent="0.25">
      <c r="A12" s="114" t="s">
        <v>41</v>
      </c>
      <c r="B12" s="115"/>
      <c r="C12" s="30" t="str">
        <f>(comments!E6)</f>
        <v>20TH APRIL 2026</v>
      </c>
      <c r="D12" s="7"/>
      <c r="E12" s="7"/>
      <c r="F12" s="13" t="s">
        <v>44</v>
      </c>
      <c r="G12" s="8"/>
      <c r="H12" s="51" t="str">
        <f>INDEX(comments!E8:E47,MATCH(sheet16!C8,comments!B8:B47,0))</f>
        <v>2nd</v>
      </c>
      <c r="I12" s="10"/>
      <c r="J12" s="10"/>
      <c r="K12" s="123"/>
      <c r="L12" s="123"/>
      <c r="M12" s="123"/>
    </row>
    <row r="13" spans="1:13" x14ac:dyDescent="0.25">
      <c r="A13" s="48"/>
      <c r="B13" s="49"/>
      <c r="C13" s="50"/>
      <c r="F13" s="25"/>
      <c r="H13" s="52"/>
      <c r="I13" s="10"/>
      <c r="J13" s="10"/>
      <c r="K13" s="54"/>
      <c r="L13" s="54"/>
      <c r="M13" s="54"/>
    </row>
    <row r="14" spans="1:13" ht="16.5" customHeight="1" x14ac:dyDescent="0.25">
      <c r="A14" s="16" t="s">
        <v>48</v>
      </c>
      <c r="B14" s="8"/>
      <c r="C14" s="8"/>
      <c r="D14" s="13" t="s">
        <v>49</v>
      </c>
      <c r="E14" s="8"/>
      <c r="F14" s="8"/>
      <c r="G14" s="8"/>
      <c r="H14" s="15"/>
      <c r="I14" s="113" t="s">
        <v>50</v>
      </c>
      <c r="J14" s="45" t="s">
        <v>32</v>
      </c>
      <c r="K14" s="44"/>
      <c r="L14" s="17"/>
      <c r="M14" s="44" t="s">
        <v>52</v>
      </c>
    </row>
    <row r="15" spans="1:13" ht="21" customHeight="1" x14ac:dyDescent="0.25">
      <c r="A15" s="11" t="s">
        <v>46</v>
      </c>
      <c r="B15" s="7"/>
      <c r="C15" s="7"/>
      <c r="D15" s="55">
        <f>(comments!C6)</f>
        <v>110</v>
      </c>
      <c r="E15" s="8"/>
      <c r="F15" s="8"/>
      <c r="G15" s="8"/>
      <c r="H15" s="14"/>
      <c r="I15" s="113"/>
      <c r="J15" s="45" t="s">
        <v>33</v>
      </c>
      <c r="K15" s="44"/>
      <c r="L15" s="17"/>
      <c r="M15" s="44" t="s">
        <v>51</v>
      </c>
    </row>
    <row r="16" spans="1:13" ht="18.75" customHeight="1" x14ac:dyDescent="0.25">
      <c r="A16" s="12" t="s">
        <v>47</v>
      </c>
      <c r="B16" s="8"/>
      <c r="C16" s="8"/>
      <c r="D16" s="56">
        <f>VLOOKUP(C8,comments!B8:C47,2,FALSE)</f>
        <v>0</v>
      </c>
      <c r="E16" s="8"/>
      <c r="F16" s="8"/>
      <c r="G16" s="8"/>
      <c r="H16" s="14"/>
      <c r="I16" s="113"/>
      <c r="J16" s="45" t="s">
        <v>34</v>
      </c>
      <c r="K16" s="44"/>
      <c r="L16" s="17"/>
      <c r="M16" s="44" t="s">
        <v>51</v>
      </c>
    </row>
    <row r="17" spans="1:13" ht="17.25" customHeight="1" x14ac:dyDescent="0.25">
      <c r="A17" s="11" t="s">
        <v>45</v>
      </c>
      <c r="B17" s="7"/>
      <c r="C17" s="7"/>
      <c r="D17" s="56">
        <f>(comments!D6)</f>
        <v>22</v>
      </c>
      <c r="E17" s="8"/>
      <c r="F17" s="8"/>
      <c r="G17" s="8"/>
      <c r="H17" s="14"/>
      <c r="I17" s="113"/>
      <c r="J17" s="47" t="s">
        <v>35</v>
      </c>
      <c r="K17" s="46"/>
      <c r="L17" s="40"/>
      <c r="M17" s="44" t="s">
        <v>52</v>
      </c>
    </row>
    <row r="18" spans="1:13" ht="61.5" customHeight="1" x14ac:dyDescent="0.25">
      <c r="A18" s="111" t="s">
        <v>53</v>
      </c>
      <c r="B18" s="112"/>
      <c r="C18" s="19"/>
      <c r="D18" s="19"/>
      <c r="E18" s="19"/>
      <c r="F18" s="41" t="s">
        <v>172</v>
      </c>
      <c r="G18" s="41" t="s">
        <v>171</v>
      </c>
      <c r="H18" s="41" t="s">
        <v>173</v>
      </c>
      <c r="I18" s="42" t="s">
        <v>174</v>
      </c>
      <c r="J18" s="42" t="s">
        <v>175</v>
      </c>
      <c r="K18" s="41" t="s">
        <v>165</v>
      </c>
      <c r="L18" s="41" t="s">
        <v>166</v>
      </c>
      <c r="M18" s="41" t="s">
        <v>54</v>
      </c>
    </row>
    <row r="19" spans="1:13" ht="15" customHeight="1" x14ac:dyDescent="0.25">
      <c r="A19" s="20" t="s">
        <v>6</v>
      </c>
      <c r="B19" s="8"/>
      <c r="C19" s="8"/>
      <c r="D19" s="8"/>
      <c r="E19" s="8"/>
      <c r="F19" s="31">
        <f>VLOOKUP(C8,'3rd Term'!B9:AN48,2,FALSE)</f>
        <v>24</v>
      </c>
      <c r="G19" s="31">
        <f>VLOOKUP(C8,'3rd Term'!B9:AN48,3,FALSE)</f>
        <v>58</v>
      </c>
      <c r="H19" s="31">
        <f>SUM(F19:G19)</f>
        <v>82</v>
      </c>
      <c r="I19" s="5">
        <f>(VLOOKUP(C8,'2nd Term'!B9:AN48,2,FALSE))+(VLOOKUP(C8,'2nd Term'!B9:AN48,3,FALSE))</f>
        <v>88</v>
      </c>
      <c r="J19" s="31">
        <f>(VLOOKUP($C$8,'1st Term'!$B$9:$AN$48,2,FALSE))+(VLOOKUP($C$8,'1st Term'!$B$9:$AN$48,3,FALSE))</f>
        <v>85</v>
      </c>
      <c r="K19" s="31">
        <f>IF(SUM(H19:J19)=0,"-",SUM(H19:J19))</f>
        <v>255</v>
      </c>
      <c r="L19" s="26">
        <f t="shared" ref="L19:L37" si="0">IFERROR(((H19)+(I19)+(J19))/((--(H19&gt;0))+(--(I19&gt;0))+(--(J19&gt;0))),"-")</f>
        <v>85</v>
      </c>
      <c r="M19" s="31" t="str">
        <f>IF(L19="-","-",IF(L19&gt;=70,"A",IF(L19&gt;=50,"C",IF(L19&gt;=40,"P","F"))))</f>
        <v>A</v>
      </c>
    </row>
    <row r="20" spans="1:13" ht="15" customHeight="1" x14ac:dyDescent="0.25">
      <c r="A20" s="20" t="s">
        <v>3</v>
      </c>
      <c r="B20" s="8"/>
      <c r="C20" s="8"/>
      <c r="D20" s="8"/>
      <c r="E20" s="8"/>
      <c r="F20" s="1">
        <f>VLOOKUP(C8,'3rd Term'!B9:AN48,4,FALSE)</f>
        <v>23</v>
      </c>
      <c r="G20" s="31">
        <f>VLOOKUP(C8,'3rd Term'!B9:AN48,5,FALSE)</f>
        <v>43</v>
      </c>
      <c r="H20" s="31">
        <f t="shared" ref="H20:H37" si="1">SUM(F20:G20)</f>
        <v>66</v>
      </c>
      <c r="I20" s="31">
        <f>(VLOOKUP(C8,'2nd Term'!B9:AN48,4,FALSE))+(VLOOKUP(C8,'2nd Term'!B9:AN48,5,FALSE))</f>
        <v>93</v>
      </c>
      <c r="J20" s="31">
        <f>(VLOOKUP($C$8,'1st Term'!$B$9:$AN$48,4,FALSE))+(VLOOKUP($C$8,'1st Term'!$B$9:$AN$48,5,FALSE))</f>
        <v>85</v>
      </c>
      <c r="K20" s="31">
        <f t="shared" ref="K20:K37" si="2">IF(SUM(H20:J20)=0,"-",SUM(H20:J20))</f>
        <v>244</v>
      </c>
      <c r="L20" s="26">
        <f t="shared" si="0"/>
        <v>81.333333333333329</v>
      </c>
      <c r="M20" s="31" t="str">
        <f t="shared" ref="M20:M37" si="3">IF(L20="-","-",IF(L20&gt;=70,"A",IF(L20&gt;=50,"C",IF(L20&gt;=40,"P","F"))))</f>
        <v>A</v>
      </c>
    </row>
    <row r="21" spans="1:13" ht="15" customHeight="1" x14ac:dyDescent="0.25">
      <c r="A21" s="20" t="s">
        <v>4</v>
      </c>
      <c r="B21" s="8"/>
      <c r="C21" s="8"/>
      <c r="D21" s="8"/>
      <c r="E21" s="8"/>
      <c r="F21" s="1">
        <f>VLOOKUP(C8,'3rd Term'!B9:AN48,6,FALSE)</f>
        <v>20</v>
      </c>
      <c r="G21" s="31">
        <f>VLOOKUP(C8,'3rd Term'!B9:AN48,7,FALSE)</f>
        <v>48</v>
      </c>
      <c r="H21" s="31">
        <f t="shared" si="1"/>
        <v>68</v>
      </c>
      <c r="I21" s="31">
        <f>(VLOOKUP(C8,'2nd Term'!B9:AN48,6,FALSE))+(VLOOKUP(C8,'2nd Term'!B9:AN48,7,FALSE))</f>
        <v>96</v>
      </c>
      <c r="J21" s="31">
        <f>(VLOOKUP($C$8,'1st Term'!$B$9:$AN$48,6,FALSE))+(VLOOKUP($C$8,'1st Term'!$B$9:$AN$48,7,FALSE))</f>
        <v>61</v>
      </c>
      <c r="K21" s="31">
        <f t="shared" si="2"/>
        <v>225</v>
      </c>
      <c r="L21" s="26">
        <f t="shared" si="0"/>
        <v>75</v>
      </c>
      <c r="M21" s="31" t="str">
        <f t="shared" si="3"/>
        <v>A</v>
      </c>
    </row>
    <row r="22" spans="1:13" ht="15" customHeight="1" x14ac:dyDescent="0.25">
      <c r="A22" s="20" t="s">
        <v>5</v>
      </c>
      <c r="B22" s="8"/>
      <c r="C22" s="8"/>
      <c r="D22" s="8"/>
      <c r="E22" s="8"/>
      <c r="F22" s="1">
        <f>VLOOKUP(C8,'3rd Term'!B9:AN48,8,FALSE)</f>
        <v>20</v>
      </c>
      <c r="G22" s="31">
        <f>VLOOKUP(C8,'3rd Term'!B9:AN48,9,FALSE)</f>
        <v>41</v>
      </c>
      <c r="H22" s="31">
        <f t="shared" si="1"/>
        <v>61</v>
      </c>
      <c r="I22" s="31">
        <f>(VLOOKUP(C8,'2nd Term'!B9:AN48,8,FALSE))+(VLOOKUP(C8,'2nd Term'!B9:AN48,9,FALSE))</f>
        <v>55</v>
      </c>
      <c r="J22" s="31">
        <f>(VLOOKUP($C$8,'1st Term'!$B$9:$AN$48,8,FALSE))+(VLOOKUP($C$8,'1st Term'!$B$9:$AN$48,9,FALSE))</f>
        <v>34</v>
      </c>
      <c r="K22" s="31">
        <f t="shared" si="2"/>
        <v>150</v>
      </c>
      <c r="L22" s="26">
        <f t="shared" si="0"/>
        <v>50</v>
      </c>
      <c r="M22" s="31" t="str">
        <f t="shared" si="3"/>
        <v>C</v>
      </c>
    </row>
    <row r="23" spans="1:13" ht="15" customHeight="1" x14ac:dyDescent="0.25">
      <c r="A23" s="20" t="s">
        <v>7</v>
      </c>
      <c r="B23" s="8"/>
      <c r="C23" s="8"/>
      <c r="D23" s="8"/>
      <c r="E23" s="8"/>
      <c r="F23" s="1">
        <f>VLOOKUP(C8,'3rd Term'!B9:AN48,10,FALSE)</f>
        <v>15</v>
      </c>
      <c r="G23" s="31">
        <f>VLOOKUP(C8,'3rd Term'!B9:AN48,11,FALSE)</f>
        <v>33</v>
      </c>
      <c r="H23" s="31">
        <f t="shared" si="1"/>
        <v>48</v>
      </c>
      <c r="I23" s="31">
        <f>(VLOOKUP(C8,'2nd Term'!B9:AN48,10,FALSE))+(VLOOKUP(C8,'2nd Term'!B9:AN48,11,FALSE))</f>
        <v>84</v>
      </c>
      <c r="J23" s="31">
        <f>(VLOOKUP($C$8,'1st Term'!$B$9:$AN$48,10,FALSE))+(VLOOKUP($C$8,'1st Term'!$B$9:$AN$48,11,FALSE))</f>
        <v>64</v>
      </c>
      <c r="K23" s="31">
        <f t="shared" si="2"/>
        <v>196</v>
      </c>
      <c r="L23" s="26">
        <f t="shared" si="0"/>
        <v>65.333333333333329</v>
      </c>
      <c r="M23" s="31" t="str">
        <f t="shared" si="3"/>
        <v>C</v>
      </c>
    </row>
    <row r="24" spans="1:13" ht="15" customHeight="1" x14ac:dyDescent="0.25">
      <c r="A24" s="20" t="s">
        <v>8</v>
      </c>
      <c r="B24" s="8"/>
      <c r="C24" s="8"/>
      <c r="D24" s="8"/>
      <c r="E24" s="8"/>
      <c r="F24" s="1">
        <f>VLOOKUP(C8,'3rd Term'!B9:AN48,12,FALSE)</f>
        <v>18</v>
      </c>
      <c r="G24" s="31">
        <f>VLOOKUP(C8,'3rd Term'!B9:AN48,13,FALSE)</f>
        <v>52</v>
      </c>
      <c r="H24" s="31">
        <f t="shared" si="1"/>
        <v>70</v>
      </c>
      <c r="I24" s="31">
        <f>(VLOOKUP(C8,'2nd Term'!B9:AN48,12,FALSE))+(VLOOKUP(C8,'2nd Term'!B9:AN48,13,FALSE))</f>
        <v>63</v>
      </c>
      <c r="J24" s="31">
        <f>(VLOOKUP($C$8,'1st Term'!$B$9:$AN$48,12,FALSE))+(VLOOKUP($C$8,'1st Term'!$B$9:$AN$48,13,FALSE))</f>
        <v>78</v>
      </c>
      <c r="K24" s="31">
        <f t="shared" si="2"/>
        <v>211</v>
      </c>
      <c r="L24" s="26">
        <f t="shared" si="0"/>
        <v>70.333333333333329</v>
      </c>
      <c r="M24" s="31" t="str">
        <f t="shared" si="3"/>
        <v>A</v>
      </c>
    </row>
    <row r="25" spans="1:13" ht="15" customHeight="1" x14ac:dyDescent="0.25">
      <c r="A25" s="20" t="s">
        <v>9</v>
      </c>
      <c r="B25" s="8"/>
      <c r="C25" s="8"/>
      <c r="D25" s="8"/>
      <c r="E25" s="8"/>
      <c r="F25" s="1">
        <f>VLOOKUP(C8,'3rd Term'!B9:AN48,14,FALSE)</f>
        <v>24</v>
      </c>
      <c r="G25" s="31">
        <f>VLOOKUP(C8,'3rd Term'!B9:AN48,15,FALSE)</f>
        <v>34</v>
      </c>
      <c r="H25" s="31">
        <f t="shared" si="1"/>
        <v>58</v>
      </c>
      <c r="I25" s="31">
        <f>(VLOOKUP(C8,'2nd Term'!B9:AN48,14,FALSE))+(VLOOKUP(C8,'2nd Term'!B9:AN48,15,FALSE))</f>
        <v>60</v>
      </c>
      <c r="J25" s="31">
        <f>(VLOOKUP($C$8,'1st Term'!$B$9:$AN$48,14,FALSE))+(VLOOKUP($C$8,'1st Term'!$B$9:$AN$48,15,FALSE))</f>
        <v>65</v>
      </c>
      <c r="K25" s="31">
        <f t="shared" si="2"/>
        <v>183</v>
      </c>
      <c r="L25" s="26">
        <f t="shared" si="0"/>
        <v>61</v>
      </c>
      <c r="M25" s="31" t="str">
        <f t="shared" si="3"/>
        <v>C</v>
      </c>
    </row>
    <row r="26" spans="1:13" ht="15" customHeight="1" x14ac:dyDescent="0.25">
      <c r="A26" s="20" t="s">
        <v>10</v>
      </c>
      <c r="B26" s="8"/>
      <c r="C26" s="8"/>
      <c r="D26" s="8"/>
      <c r="E26" s="8"/>
      <c r="F26" s="1">
        <f>VLOOKUP(C8,'3rd Term'!B9:AN48,16,FALSE)</f>
        <v>26</v>
      </c>
      <c r="G26" s="31">
        <f>VLOOKUP(C8,'3rd Term'!B9:AN48,17,FALSE)</f>
        <v>50</v>
      </c>
      <c r="H26" s="31">
        <f t="shared" si="1"/>
        <v>76</v>
      </c>
      <c r="I26" s="31">
        <f>(VLOOKUP(C8,'2nd Term'!B9:AN48,16,FALSE))+(VLOOKUP(C8,'2nd Term'!B9:AN48,17,FALSE))</f>
        <v>62</v>
      </c>
      <c r="J26" s="31">
        <f>(VLOOKUP($C$8,'1st Term'!$B$9:$AN$48,16,FALSE))+(VLOOKUP($C$8,'1st Term'!$B$9:$AN$48,17,FALSE))</f>
        <v>62</v>
      </c>
      <c r="K26" s="31">
        <f t="shared" si="2"/>
        <v>200</v>
      </c>
      <c r="L26" s="26">
        <f t="shared" si="0"/>
        <v>66.666666666666671</v>
      </c>
      <c r="M26" s="31" t="str">
        <f t="shared" si="3"/>
        <v>C</v>
      </c>
    </row>
    <row r="27" spans="1:13" ht="15" hidden="1" customHeight="1" x14ac:dyDescent="0.25">
      <c r="A27" s="20" t="s">
        <v>11</v>
      </c>
      <c r="B27" s="8"/>
      <c r="C27" s="8"/>
      <c r="D27" s="8"/>
      <c r="E27" s="8"/>
      <c r="F27" s="1">
        <f>VLOOKUP(C8,'3rd Term'!B9:AN48,18,FALSE)</f>
        <v>0</v>
      </c>
      <c r="G27" s="31">
        <f>VLOOKUP(C8,'3rd Term'!B9:AN48,19,FALSE)</f>
        <v>0</v>
      </c>
      <c r="H27" s="31">
        <f t="shared" si="1"/>
        <v>0</v>
      </c>
      <c r="I27" s="31">
        <f>(VLOOKUP(C8,'2nd Term'!B9:AN48,18,FALSE))+(VLOOKUP(C8,'2nd Term'!B9:AN48,19,FALSE))</f>
        <v>0</v>
      </c>
      <c r="J27" s="31">
        <f>(VLOOKUP($C$8,'1st Term'!$B$9:$AN$48,18,FALSE))+(VLOOKUP($C$8,'1st Term'!$B$9:$AN$48,19,FALSE))</f>
        <v>0</v>
      </c>
      <c r="K27" s="31" t="str">
        <f t="shared" si="2"/>
        <v>-</v>
      </c>
      <c r="L27" s="26" t="str">
        <f t="shared" si="0"/>
        <v>-</v>
      </c>
      <c r="M27" s="31" t="str">
        <f t="shared" si="3"/>
        <v>-</v>
      </c>
    </row>
    <row r="28" spans="1:13" ht="15" customHeight="1" x14ac:dyDescent="0.25">
      <c r="A28" s="20" t="s">
        <v>13</v>
      </c>
      <c r="B28" s="8"/>
      <c r="C28" s="8"/>
      <c r="D28" s="8"/>
      <c r="E28" s="8"/>
      <c r="F28" s="1">
        <f>VLOOKUP(C8,'3rd Term'!B9:AN48,20,FALSE)</f>
        <v>20</v>
      </c>
      <c r="G28" s="31">
        <f>VLOOKUP(C8,'3rd Term'!B9:AN48,21,FALSE)</f>
        <v>48</v>
      </c>
      <c r="H28" s="31">
        <f t="shared" si="1"/>
        <v>68</v>
      </c>
      <c r="I28" s="31">
        <f>(VLOOKUP(C8,'2nd Term'!B9:AN48,20,FALSE))+(VLOOKUP(C8,'2nd Term'!B9:AN48,21,FALSE))</f>
        <v>77</v>
      </c>
      <c r="J28" s="31">
        <f>(VLOOKUP($C$8,'1st Term'!$B$9:$AN$48,20,FALSE))+(VLOOKUP($C$8,'1st Term'!$B$9:$AN$48,21,FALSE))</f>
        <v>67</v>
      </c>
      <c r="K28" s="31">
        <f t="shared" si="2"/>
        <v>212</v>
      </c>
      <c r="L28" s="26">
        <f t="shared" si="0"/>
        <v>70.666666666666671</v>
      </c>
      <c r="M28" s="31" t="str">
        <f t="shared" si="3"/>
        <v>A</v>
      </c>
    </row>
    <row r="29" spans="1:13" x14ac:dyDescent="0.25">
      <c r="A29" s="20" t="s">
        <v>14</v>
      </c>
      <c r="B29" s="8"/>
      <c r="C29" s="8"/>
      <c r="D29" s="8"/>
      <c r="E29" s="8"/>
      <c r="F29" s="1">
        <f>VLOOKUP(C8,'3rd Term'!B9:AN48,22,FALSE)</f>
        <v>22</v>
      </c>
      <c r="G29" s="31">
        <f>VLOOKUP(C8,'3rd Term'!B9:AN48,23,FALSE)</f>
        <v>55</v>
      </c>
      <c r="H29" s="31">
        <f t="shared" si="1"/>
        <v>77</v>
      </c>
      <c r="I29" s="31">
        <f>(VLOOKUP(C8,'2nd Term'!B9:AN48,22,FALSE))+(VLOOKUP(C8,'2nd Term'!B9:AN48,23,FALSE))</f>
        <v>94</v>
      </c>
      <c r="J29" s="31">
        <f>(VLOOKUP($C$8,'1st Term'!$B$9:$AN$48,22,FALSE))+(VLOOKUP($C$8,'1st Term'!$B$9:$AN$48,23,FALSE))</f>
        <v>79</v>
      </c>
      <c r="K29" s="31">
        <f t="shared" si="2"/>
        <v>250</v>
      </c>
      <c r="L29" s="26">
        <f t="shared" si="0"/>
        <v>83.333333333333329</v>
      </c>
      <c r="M29" s="31" t="str">
        <f t="shared" si="3"/>
        <v>A</v>
      </c>
    </row>
    <row r="30" spans="1:13" x14ac:dyDescent="0.25">
      <c r="A30" s="20" t="s">
        <v>15</v>
      </c>
      <c r="B30" s="8"/>
      <c r="C30" s="8"/>
      <c r="D30" s="8"/>
      <c r="E30" s="8"/>
      <c r="F30" s="1">
        <f>VLOOKUP(C8,'3rd Term'!B9:AN48,24,FALSE)</f>
        <v>26</v>
      </c>
      <c r="G30" s="31">
        <f>VLOOKUP(C8,'3rd Term'!B9:AN48,25,FALSE)</f>
        <v>34</v>
      </c>
      <c r="H30" s="31">
        <f t="shared" si="1"/>
        <v>60</v>
      </c>
      <c r="I30" s="31">
        <f>(VLOOKUP(C8,'2nd Term'!B9:AN48,24,FALSE))+(VLOOKUP(C8,'2nd Term'!B9:AN48,25,FALSE))</f>
        <v>70</v>
      </c>
      <c r="J30" s="31">
        <f>(VLOOKUP($C$8,'1st Term'!$B$9:$AN$48,24,FALSE))+(VLOOKUP($C$8,'1st Term'!$B$9:$AN$48,25,FALSE))</f>
        <v>65</v>
      </c>
      <c r="K30" s="31">
        <f t="shared" si="2"/>
        <v>195</v>
      </c>
      <c r="L30" s="26">
        <f t="shared" si="0"/>
        <v>65</v>
      </c>
      <c r="M30" s="31" t="str">
        <f t="shared" si="3"/>
        <v>C</v>
      </c>
    </row>
    <row r="31" spans="1:13" hidden="1" x14ac:dyDescent="0.25">
      <c r="A31" s="20" t="s">
        <v>22</v>
      </c>
      <c r="B31" s="8"/>
      <c r="C31" s="8"/>
      <c r="D31" s="8"/>
      <c r="E31" s="8"/>
      <c r="F31" s="1">
        <f>VLOOKUP(C8,'3rd Term'!B9:AN48,26,FALSE)</f>
        <v>0</v>
      </c>
      <c r="G31" s="31">
        <f>VLOOKUP(C8,'3rd Term'!B9:AN48,27,FALSE)</f>
        <v>0</v>
      </c>
      <c r="H31" s="31">
        <f t="shared" si="1"/>
        <v>0</v>
      </c>
      <c r="I31" s="31">
        <f>(VLOOKUP(C8,'2nd Term'!B9:AN48,26,FALSE))+(VLOOKUP(C8,'2nd Term'!B9:AN48,27,FALSE))</f>
        <v>0</v>
      </c>
      <c r="J31" s="31">
        <f>(VLOOKUP($C$8,'1st Term'!$B$9:$AN$48,26,FALSE))+(VLOOKUP($C$8,'1st Term'!$B$9:$AN$48,27,FALSE))</f>
        <v>0</v>
      </c>
      <c r="K31" s="31" t="str">
        <f t="shared" si="2"/>
        <v>-</v>
      </c>
      <c r="L31" s="26" t="str">
        <f t="shared" si="0"/>
        <v>-</v>
      </c>
      <c r="M31" s="31" t="str">
        <f t="shared" si="3"/>
        <v>-</v>
      </c>
    </row>
    <row r="32" spans="1:13" x14ac:dyDescent="0.25">
      <c r="A32" s="20" t="s">
        <v>16</v>
      </c>
      <c r="B32" s="8"/>
      <c r="C32" s="8"/>
      <c r="D32" s="8"/>
      <c r="E32" s="8"/>
      <c r="F32" s="1">
        <f>VLOOKUP(C8,'3rd Term'!B9:AN48,28,FALSE)</f>
        <v>19</v>
      </c>
      <c r="G32" s="31">
        <f>VLOOKUP(C8,'3rd Term'!B9:AN48,29,FALSE)</f>
        <v>16</v>
      </c>
      <c r="H32" s="31">
        <f t="shared" si="1"/>
        <v>35</v>
      </c>
      <c r="I32" s="31">
        <f>(VLOOKUP(C8,'2nd Term'!B9:AN48,28,FALSE))+(VLOOKUP(C8,'2nd Term'!B9:AN48,29,FALSE))</f>
        <v>82</v>
      </c>
      <c r="J32" s="31">
        <f>(VLOOKUP($C$8,'1st Term'!$B$9:$AN$48,28,FALSE))+(VLOOKUP($C$8,'1st Term'!$B$9:$AN$48,29,FALSE))</f>
        <v>72</v>
      </c>
      <c r="K32" s="31">
        <f t="shared" si="2"/>
        <v>189</v>
      </c>
      <c r="L32" s="26">
        <f t="shared" si="0"/>
        <v>63</v>
      </c>
      <c r="M32" s="31" t="str">
        <f t="shared" si="3"/>
        <v>C</v>
      </c>
    </row>
    <row r="33" spans="1:13" x14ac:dyDescent="0.25">
      <c r="A33" s="20" t="s">
        <v>17</v>
      </c>
      <c r="B33" s="8"/>
      <c r="C33" s="8"/>
      <c r="D33" s="8"/>
      <c r="E33" s="8"/>
      <c r="F33" s="1">
        <f>VLOOKUP(C8,'3rd Term'!B9:AN48,30,FALSE)</f>
        <v>29</v>
      </c>
      <c r="G33" s="31">
        <f>VLOOKUP(C8,'3rd Term'!B9:AN48,31,FALSE)</f>
        <v>22</v>
      </c>
      <c r="H33" s="31">
        <f t="shared" si="1"/>
        <v>51</v>
      </c>
      <c r="I33" s="31">
        <f>(VLOOKUP(C8,'2nd Term'!B9:AN48,30,FALSE))+(VLOOKUP(C8,'2nd Term'!B9:AN48,31,FALSE))</f>
        <v>74</v>
      </c>
      <c r="J33" s="31">
        <f>(VLOOKUP($C$8,'1st Term'!$B$9:$AN$48,30,FALSE))+(VLOOKUP($C$8,'1st Term'!$B$9:$AN$48,31,FALSE))</f>
        <v>70</v>
      </c>
      <c r="K33" s="31">
        <f t="shared" si="2"/>
        <v>195</v>
      </c>
      <c r="L33" s="26">
        <f t="shared" si="0"/>
        <v>65</v>
      </c>
      <c r="M33" s="31" t="str">
        <f t="shared" si="3"/>
        <v>C</v>
      </c>
    </row>
    <row r="34" spans="1:13" x14ac:dyDescent="0.25">
      <c r="A34" s="20" t="s">
        <v>18</v>
      </c>
      <c r="B34" s="8"/>
      <c r="C34" s="8"/>
      <c r="D34" s="8"/>
      <c r="E34" s="8"/>
      <c r="F34" s="1">
        <f>VLOOKUP(C8,'3rd Term'!B9:AN48,32,FALSE)</f>
        <v>24</v>
      </c>
      <c r="G34" s="31">
        <f>VLOOKUP(C8,'3rd Term'!B9:AN48,33,FALSE)</f>
        <v>42</v>
      </c>
      <c r="H34" s="31">
        <f t="shared" si="1"/>
        <v>66</v>
      </c>
      <c r="I34" s="31">
        <f>(VLOOKUP(C8,'2nd Term'!B9:AN48,32,FALSE))+(VLOOKUP(C8,'2nd Term'!B9:AN48,33,FALSE))</f>
        <v>67</v>
      </c>
      <c r="J34" s="31">
        <f>(VLOOKUP($C$8,'1st Term'!$B$9:$AN$48,32,FALSE))+(VLOOKUP($C$8,'1st Term'!$B$9:$AN$48,33,FALSE))</f>
        <v>57</v>
      </c>
      <c r="K34" s="31">
        <f t="shared" si="2"/>
        <v>190</v>
      </c>
      <c r="L34" s="26">
        <f t="shared" si="0"/>
        <v>63.333333333333336</v>
      </c>
      <c r="M34" s="31" t="str">
        <f t="shared" si="3"/>
        <v>C</v>
      </c>
    </row>
    <row r="35" spans="1:13" x14ac:dyDescent="0.25">
      <c r="A35" s="20" t="s">
        <v>19</v>
      </c>
      <c r="B35" s="8"/>
      <c r="C35" s="8"/>
      <c r="D35" s="8"/>
      <c r="E35" s="8"/>
      <c r="F35" s="1">
        <f>VLOOKUP(C8,'3rd Term'!B9:AN48,34,FALSE)</f>
        <v>19</v>
      </c>
      <c r="G35" s="31">
        <f>VLOOKUP(C8,'3rd Term'!B9:AN48,35,FALSE)</f>
        <v>46</v>
      </c>
      <c r="H35" s="31">
        <f t="shared" si="1"/>
        <v>65</v>
      </c>
      <c r="I35" s="31">
        <f>(VLOOKUP(C8,'2nd Term'!B9:AN48,34,FALSE))+(VLOOKUP(C8,'2nd Term'!B9:AN48,35,FALSE))</f>
        <v>80</v>
      </c>
      <c r="J35" s="31">
        <f>(VLOOKUP($C$8,'1st Term'!$B$9:$AN$48,34,FALSE))+(VLOOKUP($C$8,'1st Term'!$B$9:$AN$48,35,FALSE))</f>
        <v>33</v>
      </c>
      <c r="K35" s="31">
        <f t="shared" si="2"/>
        <v>178</v>
      </c>
      <c r="L35" s="26">
        <f t="shared" si="0"/>
        <v>59.333333333333336</v>
      </c>
      <c r="M35" s="31" t="str">
        <f t="shared" si="3"/>
        <v>C</v>
      </c>
    </row>
    <row r="36" spans="1:13" x14ac:dyDescent="0.25">
      <c r="A36" s="20" t="s">
        <v>20</v>
      </c>
      <c r="B36" s="8"/>
      <c r="C36" s="8"/>
      <c r="D36" s="8"/>
      <c r="E36" s="8"/>
      <c r="F36" s="1">
        <f>VLOOKUP(C8,'3rd Term'!B9:AN48,36,FALSE)</f>
        <v>27</v>
      </c>
      <c r="G36" s="31">
        <f>VLOOKUP(C8,'3rd Term'!B9:AN48,37,FALSE)</f>
        <v>39</v>
      </c>
      <c r="H36" s="31">
        <f t="shared" si="1"/>
        <v>66</v>
      </c>
      <c r="I36" s="31">
        <f>(VLOOKUP(C8,'2nd Term'!B9:AN48,36,FALSE))+(VLOOKUP(C8,'2nd Term'!B9:AN48,37,FALSE))</f>
        <v>87</v>
      </c>
      <c r="J36" s="31">
        <f>(VLOOKUP($C$8,'1st Term'!$B$9:$AN$48,36,FALSE))+(VLOOKUP($C$8,'1st Term'!$B$9:$AN$48,37,FALSE))</f>
        <v>68</v>
      </c>
      <c r="K36" s="31">
        <f t="shared" si="2"/>
        <v>221</v>
      </c>
      <c r="L36" s="26">
        <f t="shared" si="0"/>
        <v>73.666666666666671</v>
      </c>
      <c r="M36" s="31" t="str">
        <f t="shared" si="3"/>
        <v>A</v>
      </c>
    </row>
    <row r="37" spans="1:13" x14ac:dyDescent="0.25">
      <c r="A37" s="18" t="s">
        <v>21</v>
      </c>
      <c r="B37" s="7"/>
      <c r="C37" s="7"/>
      <c r="D37" s="7"/>
      <c r="E37" s="7"/>
      <c r="F37" s="57">
        <f>VLOOKUP(C8,'3rd Term'!B9:AN48,38,FALSE)</f>
        <v>15</v>
      </c>
      <c r="G37" s="31">
        <f>VLOOKUP(C8,'3rd Term'!B9:AN48,39,FALSE)</f>
        <v>46</v>
      </c>
      <c r="H37" s="31">
        <f t="shared" si="1"/>
        <v>61</v>
      </c>
      <c r="I37" s="31">
        <f>(VLOOKUP(C8,'2nd Term'!B9:AN48,38,FALSE))+(VLOOKUP(C8,'2nd Term'!B9:AN48,39,FALSE))</f>
        <v>83</v>
      </c>
      <c r="J37" s="31">
        <f>(VLOOKUP($C$8,'1st Term'!$B$9:$AN$48,38,FALSE))+(VLOOKUP($C$8,'1st Term'!$B$9:$AN$48,39,FALSE))</f>
        <v>76</v>
      </c>
      <c r="K37" s="31">
        <f t="shared" si="2"/>
        <v>220</v>
      </c>
      <c r="L37" s="26">
        <f t="shared" si="0"/>
        <v>73.333333333333329</v>
      </c>
      <c r="M37" s="31" t="str">
        <f t="shared" si="3"/>
        <v>A</v>
      </c>
    </row>
    <row r="43" spans="1:13" x14ac:dyDescent="0.25">
      <c r="G43" s="110" t="s">
        <v>62</v>
      </c>
      <c r="H43" s="110"/>
      <c r="I43" s="110"/>
      <c r="J43" s="110"/>
      <c r="K43" s="110"/>
      <c r="L43" s="110"/>
      <c r="M43" s="110"/>
    </row>
    <row r="44" spans="1:13" x14ac:dyDescent="0.25">
      <c r="A44" s="77" t="s">
        <v>58</v>
      </c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</row>
    <row r="45" spans="1:13" ht="12.75" customHeight="1" x14ac:dyDescent="0.25">
      <c r="A45" s="50" t="str">
        <f>VLOOKUP(C8,comments!B8:X47,7,0)</f>
        <v>She is improving gradually but needs to participate more in class discussions.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</row>
    <row r="46" spans="1:13" x14ac:dyDescent="0.25">
      <c r="A46" s="50"/>
      <c r="B46" s="50"/>
      <c r="C46" s="50"/>
      <c r="D46" s="50"/>
      <c r="E46" s="50"/>
      <c r="F46" s="78"/>
      <c r="G46" s="78"/>
      <c r="H46" s="78"/>
      <c r="I46" s="78"/>
      <c r="J46" s="78"/>
      <c r="K46" s="78"/>
      <c r="L46" s="78"/>
      <c r="M46" s="78"/>
    </row>
    <row r="47" spans="1:13" x14ac:dyDescent="0.25">
      <c r="A47" s="79" t="s">
        <v>60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</row>
    <row r="48" spans="1:13" ht="12" customHeight="1" x14ac:dyDescent="0.25">
      <c r="A48" s="50" t="str">
        <f>VLOOKUP(C8,comments!B8:X47,14,0)</f>
        <v>Just fair. You can improve if only you will be more regular at school next term. Promoted to the Next Class.</v>
      </c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</row>
    <row r="49" spans="1:13" x14ac:dyDescent="0.25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</row>
    <row r="50" spans="1:13" x14ac:dyDescent="0.25">
      <c r="A50" s="79" t="s">
        <v>59</v>
      </c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</row>
    <row r="51" spans="1:13" ht="12" customHeight="1" x14ac:dyDescent="0.25">
      <c r="A51" s="78" t="s">
        <v>61</v>
      </c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</row>
  </sheetData>
  <sheetProtection algorithmName="SHA-512" hashValue="qjkPJZ/fwHmFzFgPKnRubS9NYZtTjjQ5odOVaqqLoxC7gOAtMW9z7Bn1Yj3IcPiCYs7JPRKB8Cq7GwEFzat9lQ==" saltValue="z9KbD97dnjfHNsqnWmNgNw==" spinCount="100000" sheet="1" scenarios="1"/>
  <mergeCells count="13">
    <mergeCell ref="I14:I17"/>
    <mergeCell ref="A18:B18"/>
    <mergeCell ref="G43:M43"/>
    <mergeCell ref="B1:M2"/>
    <mergeCell ref="B3:M3"/>
    <mergeCell ref="B4:M4"/>
    <mergeCell ref="B5:M6"/>
    <mergeCell ref="K7:M12"/>
    <mergeCell ref="A8:B8"/>
    <mergeCell ref="A9:B9"/>
    <mergeCell ref="A10:B10"/>
    <mergeCell ref="A11:B11"/>
    <mergeCell ref="A12:B12"/>
  </mergeCells>
  <conditionalFormatting sqref="M19:M37">
    <cfRule type="cellIs" dxfId="34" priority="3" operator="equal">
      <formula>"F"</formula>
    </cfRule>
    <cfRule type="cellIs" dxfId="33" priority="4" operator="equal">
      <formula>"P"</formula>
    </cfRule>
    <cfRule type="cellIs" dxfId="32" priority="5" operator="equal">
      <formula>"C"</formula>
    </cfRule>
    <cfRule type="cellIs" dxfId="31" priority="6" operator="equal">
      <formula>"A"</formula>
    </cfRule>
  </conditionalFormatting>
  <conditionalFormatting sqref="F19:J37">
    <cfRule type="cellIs" dxfId="30" priority="1" operator="equal">
      <formula>0</formula>
    </cfRule>
    <cfRule type="colorScale" priority="2">
      <colorScale>
        <cfvo type="min"/>
        <cfvo type="num" val="0"/>
        <color rgb="FFFF7128"/>
        <color theme="0"/>
      </colorScale>
    </cfRule>
  </conditionalFormatting>
  <dataValidations count="1">
    <dataValidation type="list" allowBlank="1" showInputMessage="1" showErrorMessage="1" sqref="M14:M17" xr:uid="{32D8F537-E478-4E8F-961D-6B4080683C89}">
      <formula1>"A,B,C,D,E"</formula1>
    </dataValidation>
  </dataValidations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DD79A-EA22-492F-A868-06DE03015F0C}">
  <sheetPr>
    <tabColor rgb="FF7030A0"/>
  </sheetPr>
  <dimension ref="A1:M51"/>
  <sheetViews>
    <sheetView workbookViewId="0">
      <selection activeCell="N10" sqref="N10"/>
    </sheetView>
  </sheetViews>
  <sheetFormatPr defaultRowHeight="15" x14ac:dyDescent="0.25"/>
  <cols>
    <col min="3" max="3" width="8.140625" customWidth="1"/>
    <col min="4" max="4" width="9.42578125" customWidth="1"/>
    <col min="5" max="5" width="10.5703125" customWidth="1"/>
    <col min="6" max="6" width="6.28515625" customWidth="1"/>
    <col min="7" max="8" width="5.85546875" customWidth="1"/>
    <col min="9" max="9" width="5.5703125" customWidth="1"/>
    <col min="10" max="11" width="5.28515625" customWidth="1"/>
    <col min="12" max="12" width="6.28515625" customWidth="1"/>
    <col min="13" max="13" width="5.7109375" customWidth="1"/>
  </cols>
  <sheetData>
    <row r="1" spans="1:13" ht="15" customHeight="1" x14ac:dyDescent="0.25">
      <c r="A1" s="10"/>
      <c r="B1" s="116" t="s">
        <v>185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</row>
    <row r="2" spans="1:13" ht="15" customHeight="1" x14ac:dyDescent="0.25">
      <c r="A2" s="10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</row>
    <row r="3" spans="1:13" ht="15.75" x14ac:dyDescent="0.25">
      <c r="A3" s="10"/>
      <c r="B3" s="117" t="s">
        <v>184</v>
      </c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</row>
    <row r="4" spans="1:13" ht="15.75" x14ac:dyDescent="0.25">
      <c r="A4" s="10"/>
      <c r="B4" s="118" t="s">
        <v>186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</row>
    <row r="5" spans="1:13" ht="15" customHeight="1" x14ac:dyDescent="0.25">
      <c r="A5" s="10"/>
      <c r="B5" s="119" t="s">
        <v>36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</row>
    <row r="6" spans="1:13" ht="15" customHeight="1" x14ac:dyDescent="0.25">
      <c r="A6" s="10"/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</row>
    <row r="7" spans="1:13" ht="15" customHeight="1" x14ac:dyDescent="0.25">
      <c r="I7" s="10"/>
      <c r="J7" s="10"/>
      <c r="K7" s="122" t="s">
        <v>105</v>
      </c>
      <c r="L7" s="122"/>
      <c r="M7" s="122"/>
    </row>
    <row r="8" spans="1:13" x14ac:dyDescent="0.25">
      <c r="A8" s="120" t="s">
        <v>37</v>
      </c>
      <c r="B8" s="120"/>
      <c r="C8" s="29" t="str">
        <f>('1st Term'!B25)</f>
        <v>NWABUEZE VICTOR</v>
      </c>
      <c r="D8" s="8"/>
      <c r="E8" s="8"/>
      <c r="F8" s="8"/>
      <c r="G8" s="8"/>
      <c r="H8" s="9"/>
      <c r="I8" s="10"/>
      <c r="J8" s="10"/>
      <c r="K8" s="122"/>
      <c r="L8" s="122"/>
      <c r="M8" s="122"/>
    </row>
    <row r="9" spans="1:13" x14ac:dyDescent="0.25">
      <c r="A9" s="121" t="s">
        <v>38</v>
      </c>
      <c r="B9" s="115"/>
      <c r="C9" s="29" t="str">
        <f>('1st Term'!B7)</f>
        <v>JSS 1A</v>
      </c>
      <c r="D9" s="8"/>
      <c r="E9" s="8"/>
      <c r="F9" s="8"/>
      <c r="G9" s="8"/>
      <c r="H9" s="9"/>
      <c r="I9" s="10"/>
      <c r="J9" s="10"/>
      <c r="K9" s="122"/>
      <c r="L9" s="122"/>
      <c r="M9" s="122"/>
    </row>
    <row r="10" spans="1:13" x14ac:dyDescent="0.25">
      <c r="A10" s="121" t="s">
        <v>39</v>
      </c>
      <c r="B10" s="115"/>
      <c r="C10" s="29" t="str">
        <f>(comments!C4)</f>
        <v>2025/2026</v>
      </c>
      <c r="D10" s="8"/>
      <c r="E10" s="8"/>
      <c r="F10" s="43"/>
      <c r="G10" s="43"/>
      <c r="H10" s="9"/>
      <c r="I10" s="10"/>
      <c r="J10" s="10"/>
      <c r="K10" s="122"/>
      <c r="L10" s="122"/>
      <c r="M10" s="122"/>
    </row>
    <row r="11" spans="1:13" x14ac:dyDescent="0.25">
      <c r="A11" s="121" t="s">
        <v>40</v>
      </c>
      <c r="B11" s="115"/>
      <c r="C11" s="30" t="str">
        <f>(comments!B5)</f>
        <v>THIRD TERM</v>
      </c>
      <c r="D11" s="7"/>
      <c r="E11" s="7"/>
      <c r="F11" s="13" t="s">
        <v>167</v>
      </c>
      <c r="G11" s="8"/>
      <c r="H11" s="53">
        <f>INDEX(comments!D8:D47,MATCH(sheet17!C8,comments!B8:B47,0))</f>
        <v>53.235294117647051</v>
      </c>
      <c r="I11" s="10"/>
      <c r="J11" s="10"/>
      <c r="K11" s="122"/>
      <c r="L11" s="122"/>
      <c r="M11" s="122"/>
    </row>
    <row r="12" spans="1:13" x14ac:dyDescent="0.25">
      <c r="A12" s="114" t="s">
        <v>41</v>
      </c>
      <c r="B12" s="115"/>
      <c r="C12" s="30" t="str">
        <f>(comments!E6)</f>
        <v>20TH APRIL 2026</v>
      </c>
      <c r="D12" s="7"/>
      <c r="E12" s="7"/>
      <c r="F12" s="13" t="s">
        <v>44</v>
      </c>
      <c r="G12" s="8"/>
      <c r="H12" s="51" t="str">
        <f>INDEX(comments!E8:E47,MATCH(sheet17!C8,comments!B8:B47,0))</f>
        <v>11th</v>
      </c>
      <c r="I12" s="10"/>
      <c r="J12" s="10"/>
      <c r="K12" s="123"/>
      <c r="L12" s="123"/>
      <c r="M12" s="123"/>
    </row>
    <row r="13" spans="1:13" x14ac:dyDescent="0.25">
      <c r="A13" s="48"/>
      <c r="B13" s="49"/>
      <c r="C13" s="50"/>
      <c r="F13" s="25"/>
      <c r="H13" s="52"/>
      <c r="I13" s="10"/>
      <c r="J13" s="10"/>
      <c r="K13" s="54"/>
      <c r="L13" s="54"/>
      <c r="M13" s="54"/>
    </row>
    <row r="14" spans="1:13" ht="16.5" customHeight="1" x14ac:dyDescent="0.25">
      <c r="A14" s="16" t="s">
        <v>48</v>
      </c>
      <c r="B14" s="8"/>
      <c r="C14" s="8"/>
      <c r="D14" s="13" t="s">
        <v>49</v>
      </c>
      <c r="E14" s="8"/>
      <c r="F14" s="8"/>
      <c r="G14" s="8"/>
      <c r="H14" s="15"/>
      <c r="I14" s="113" t="s">
        <v>50</v>
      </c>
      <c r="J14" s="45" t="s">
        <v>32</v>
      </c>
      <c r="K14" s="44"/>
      <c r="L14" s="17"/>
      <c r="M14" s="44" t="s">
        <v>52</v>
      </c>
    </row>
    <row r="15" spans="1:13" ht="21" customHeight="1" x14ac:dyDescent="0.25">
      <c r="A15" s="11" t="s">
        <v>46</v>
      </c>
      <c r="B15" s="7"/>
      <c r="C15" s="7"/>
      <c r="D15" s="55">
        <f>(comments!C6)</f>
        <v>110</v>
      </c>
      <c r="E15" s="8"/>
      <c r="F15" s="8"/>
      <c r="G15" s="8"/>
      <c r="H15" s="14"/>
      <c r="I15" s="113"/>
      <c r="J15" s="45" t="s">
        <v>33</v>
      </c>
      <c r="K15" s="44"/>
      <c r="L15" s="17"/>
      <c r="M15" s="44" t="s">
        <v>51</v>
      </c>
    </row>
    <row r="16" spans="1:13" ht="18.75" customHeight="1" x14ac:dyDescent="0.25">
      <c r="A16" s="12" t="s">
        <v>47</v>
      </c>
      <c r="B16" s="8"/>
      <c r="C16" s="8"/>
      <c r="D16" s="56">
        <f>VLOOKUP(C8,comments!B8:C47,2,FALSE)</f>
        <v>0</v>
      </c>
      <c r="E16" s="8"/>
      <c r="F16" s="8"/>
      <c r="G16" s="8"/>
      <c r="H16" s="14"/>
      <c r="I16" s="113"/>
      <c r="J16" s="45" t="s">
        <v>34</v>
      </c>
      <c r="K16" s="44"/>
      <c r="L16" s="17"/>
      <c r="M16" s="44" t="s">
        <v>51</v>
      </c>
    </row>
    <row r="17" spans="1:13" ht="17.25" customHeight="1" x14ac:dyDescent="0.25">
      <c r="A17" s="11" t="s">
        <v>45</v>
      </c>
      <c r="B17" s="7"/>
      <c r="C17" s="7"/>
      <c r="D17" s="56">
        <f>(comments!D6)</f>
        <v>22</v>
      </c>
      <c r="E17" s="8"/>
      <c r="F17" s="8"/>
      <c r="G17" s="8"/>
      <c r="H17" s="14"/>
      <c r="I17" s="113"/>
      <c r="J17" s="47" t="s">
        <v>35</v>
      </c>
      <c r="K17" s="46"/>
      <c r="L17" s="40"/>
      <c r="M17" s="44" t="s">
        <v>52</v>
      </c>
    </row>
    <row r="18" spans="1:13" ht="61.5" customHeight="1" x14ac:dyDescent="0.25">
      <c r="A18" s="111" t="s">
        <v>53</v>
      </c>
      <c r="B18" s="112"/>
      <c r="C18" s="19"/>
      <c r="D18" s="19"/>
      <c r="E18" s="19"/>
      <c r="F18" s="41" t="s">
        <v>172</v>
      </c>
      <c r="G18" s="41" t="s">
        <v>171</v>
      </c>
      <c r="H18" s="41" t="s">
        <v>173</v>
      </c>
      <c r="I18" s="42" t="s">
        <v>174</v>
      </c>
      <c r="J18" s="42" t="s">
        <v>175</v>
      </c>
      <c r="K18" s="41" t="s">
        <v>165</v>
      </c>
      <c r="L18" s="41" t="s">
        <v>166</v>
      </c>
      <c r="M18" s="41" t="s">
        <v>54</v>
      </c>
    </row>
    <row r="19" spans="1:13" ht="15" customHeight="1" x14ac:dyDescent="0.25">
      <c r="A19" s="20" t="s">
        <v>6</v>
      </c>
      <c r="B19" s="8"/>
      <c r="C19" s="8"/>
      <c r="D19" s="8"/>
      <c r="E19" s="8"/>
      <c r="F19" s="31">
        <f>VLOOKUP(C8,'3rd Term'!B9:AN48,2,FALSE)</f>
        <v>25</v>
      </c>
      <c r="G19" s="31">
        <f>VLOOKUP(C8,'3rd Term'!B9:AN48,3,FALSE)</f>
        <v>59</v>
      </c>
      <c r="H19" s="31">
        <f>SUM(F19:G19)</f>
        <v>84</v>
      </c>
      <c r="I19" s="5">
        <f>(VLOOKUP(C8,'2nd Term'!B9:AN48,2,FALSE))+(VLOOKUP(C8,'2nd Term'!B9:AN48,3,FALSE))</f>
        <v>54</v>
      </c>
      <c r="J19" s="31">
        <f>(VLOOKUP($C$8,'1st Term'!$B$9:$AN$48,2,FALSE))+(VLOOKUP($C$8,'1st Term'!$B$9:$AN$48,3,FALSE))</f>
        <v>54</v>
      </c>
      <c r="K19" s="31">
        <f>IF(SUM(H19:J19)=0,"-",SUM(H19:J19))</f>
        <v>192</v>
      </c>
      <c r="L19" s="26">
        <f t="shared" ref="L19:L37" si="0">IFERROR(((H19)+(I19)+(J19))/((--(H19&gt;0))+(--(I19&gt;0))+(--(J19&gt;0))),"-")</f>
        <v>64</v>
      </c>
      <c r="M19" s="31" t="str">
        <f>IF(L19="-","-",IF(L19&gt;=70,"A",IF(L19&gt;=50,"C",IF(L19&gt;=40,"P","F"))))</f>
        <v>C</v>
      </c>
    </row>
    <row r="20" spans="1:13" ht="15" customHeight="1" x14ac:dyDescent="0.25">
      <c r="A20" s="20" t="s">
        <v>3</v>
      </c>
      <c r="B20" s="8"/>
      <c r="C20" s="8"/>
      <c r="D20" s="8"/>
      <c r="E20" s="8"/>
      <c r="F20" s="1">
        <f>VLOOKUP(C8,'3rd Term'!B9:AN48,4,FALSE)</f>
        <v>24</v>
      </c>
      <c r="G20" s="31">
        <f>VLOOKUP(C8,'3rd Term'!B9:AN48,5,FALSE)</f>
        <v>43</v>
      </c>
      <c r="H20" s="31">
        <f t="shared" ref="H20:H37" si="1">SUM(F20:G20)</f>
        <v>67</v>
      </c>
      <c r="I20" s="31">
        <f>(VLOOKUP(C8,'2nd Term'!B9:AN48,4,FALSE))+(VLOOKUP(C8,'2nd Term'!B9:AN48,5,FALSE))</f>
        <v>81</v>
      </c>
      <c r="J20" s="31">
        <f>(VLOOKUP($C$8,'1st Term'!$B$9:$AN$48,4,FALSE))+(VLOOKUP($C$8,'1st Term'!$B$9:$AN$48,5,FALSE))</f>
        <v>73</v>
      </c>
      <c r="K20" s="31">
        <f t="shared" ref="K20:K37" si="2">IF(SUM(H20:J20)=0,"-",SUM(H20:J20))</f>
        <v>221</v>
      </c>
      <c r="L20" s="26">
        <f t="shared" si="0"/>
        <v>73.666666666666671</v>
      </c>
      <c r="M20" s="31" t="str">
        <f t="shared" ref="M20:M37" si="3">IF(L20="-","-",IF(L20&gt;=70,"A",IF(L20&gt;=50,"C",IF(L20&gt;=40,"P","F"))))</f>
        <v>A</v>
      </c>
    </row>
    <row r="21" spans="1:13" ht="15" customHeight="1" x14ac:dyDescent="0.25">
      <c r="A21" s="20" t="s">
        <v>4</v>
      </c>
      <c r="B21" s="8"/>
      <c r="C21" s="8"/>
      <c r="D21" s="8"/>
      <c r="E21" s="8"/>
      <c r="F21" s="1">
        <f>VLOOKUP(C8,'3rd Term'!B9:AN48,6,FALSE)</f>
        <v>25</v>
      </c>
      <c r="G21" s="31">
        <f>VLOOKUP(C8,'3rd Term'!B9:AN48,7,FALSE)</f>
        <v>50</v>
      </c>
      <c r="H21" s="31">
        <f t="shared" si="1"/>
        <v>75</v>
      </c>
      <c r="I21" s="31">
        <f>(VLOOKUP(C8,'2nd Term'!B9:AN48,6,FALSE))+(VLOOKUP(C8,'2nd Term'!B9:AN48,7,FALSE))</f>
        <v>65</v>
      </c>
      <c r="J21" s="31">
        <f>(VLOOKUP($C$8,'1st Term'!$B$9:$AN$48,6,FALSE))+(VLOOKUP($C$8,'1st Term'!$B$9:$AN$48,7,FALSE))</f>
        <v>62</v>
      </c>
      <c r="K21" s="31">
        <f t="shared" si="2"/>
        <v>202</v>
      </c>
      <c r="L21" s="26">
        <f t="shared" si="0"/>
        <v>67.333333333333329</v>
      </c>
      <c r="M21" s="31" t="str">
        <f t="shared" si="3"/>
        <v>C</v>
      </c>
    </row>
    <row r="22" spans="1:13" ht="15" customHeight="1" x14ac:dyDescent="0.25">
      <c r="A22" s="20" t="s">
        <v>5</v>
      </c>
      <c r="B22" s="8"/>
      <c r="C22" s="8"/>
      <c r="D22" s="8"/>
      <c r="E22" s="8"/>
      <c r="F22" s="1">
        <f>VLOOKUP(C8,'3rd Term'!B9:AN48,8,FALSE)</f>
        <v>23</v>
      </c>
      <c r="G22" s="31">
        <f>VLOOKUP(C8,'3rd Term'!B9:AN48,9,FALSE)</f>
        <v>39</v>
      </c>
      <c r="H22" s="31">
        <f t="shared" si="1"/>
        <v>62</v>
      </c>
      <c r="I22" s="31">
        <f>(VLOOKUP(C8,'2nd Term'!B9:AN48,8,FALSE))+(VLOOKUP(C8,'2nd Term'!B9:AN48,9,FALSE))</f>
        <v>26</v>
      </c>
      <c r="J22" s="31">
        <f>(VLOOKUP($C$8,'1st Term'!$B$9:$AN$48,8,FALSE))+(VLOOKUP($C$8,'1st Term'!$B$9:$AN$48,9,FALSE))</f>
        <v>58</v>
      </c>
      <c r="K22" s="31">
        <f t="shared" si="2"/>
        <v>146</v>
      </c>
      <c r="L22" s="26">
        <f t="shared" si="0"/>
        <v>48.666666666666664</v>
      </c>
      <c r="M22" s="31" t="str">
        <f t="shared" si="3"/>
        <v>P</v>
      </c>
    </row>
    <row r="23" spans="1:13" ht="15" customHeight="1" x14ac:dyDescent="0.25">
      <c r="A23" s="20" t="s">
        <v>7</v>
      </c>
      <c r="B23" s="8"/>
      <c r="C23" s="8"/>
      <c r="D23" s="8"/>
      <c r="E23" s="8"/>
      <c r="F23" s="1">
        <f>VLOOKUP(C8,'3rd Term'!B9:AN48,10,FALSE)</f>
        <v>27</v>
      </c>
      <c r="G23" s="31">
        <f>VLOOKUP(C8,'3rd Term'!B9:AN48,11,FALSE)</f>
        <v>41</v>
      </c>
      <c r="H23" s="31">
        <f t="shared" si="1"/>
        <v>68</v>
      </c>
      <c r="I23" s="31">
        <f>(VLOOKUP(C8,'2nd Term'!B9:AN48,10,FALSE))+(VLOOKUP(C8,'2nd Term'!B9:AN48,11,FALSE))</f>
        <v>43</v>
      </c>
      <c r="J23" s="31">
        <f>(VLOOKUP($C$8,'1st Term'!$B$9:$AN$48,10,FALSE))+(VLOOKUP($C$8,'1st Term'!$B$9:$AN$48,11,FALSE))</f>
        <v>40</v>
      </c>
      <c r="K23" s="31">
        <f t="shared" si="2"/>
        <v>151</v>
      </c>
      <c r="L23" s="26">
        <f t="shared" si="0"/>
        <v>50.333333333333336</v>
      </c>
      <c r="M23" s="31" t="str">
        <f t="shared" si="3"/>
        <v>C</v>
      </c>
    </row>
    <row r="24" spans="1:13" ht="15" customHeight="1" x14ac:dyDescent="0.25">
      <c r="A24" s="20" t="s">
        <v>8</v>
      </c>
      <c r="B24" s="8"/>
      <c r="C24" s="8"/>
      <c r="D24" s="8"/>
      <c r="E24" s="8"/>
      <c r="F24" s="1">
        <f>VLOOKUP(C8,'3rd Term'!B9:AN48,12,FALSE)</f>
        <v>29</v>
      </c>
      <c r="G24" s="31">
        <f>VLOOKUP(C8,'3rd Term'!B9:AN48,13,FALSE)</f>
        <v>48</v>
      </c>
      <c r="H24" s="31">
        <f t="shared" si="1"/>
        <v>77</v>
      </c>
      <c r="I24" s="31">
        <f>(VLOOKUP(C8,'2nd Term'!B9:AN48,12,FALSE))+(VLOOKUP(C8,'2nd Term'!B9:AN48,13,FALSE))</f>
        <v>26</v>
      </c>
      <c r="J24" s="31">
        <f>(VLOOKUP($C$8,'1st Term'!$B$9:$AN$48,12,FALSE))+(VLOOKUP($C$8,'1st Term'!$B$9:$AN$48,13,FALSE))</f>
        <v>27</v>
      </c>
      <c r="K24" s="31">
        <f t="shared" si="2"/>
        <v>130</v>
      </c>
      <c r="L24" s="26">
        <f t="shared" si="0"/>
        <v>43.333333333333336</v>
      </c>
      <c r="M24" s="31" t="str">
        <f t="shared" si="3"/>
        <v>P</v>
      </c>
    </row>
    <row r="25" spans="1:13" ht="15" customHeight="1" x14ac:dyDescent="0.25">
      <c r="A25" s="20" t="s">
        <v>9</v>
      </c>
      <c r="B25" s="8"/>
      <c r="C25" s="8"/>
      <c r="D25" s="8"/>
      <c r="E25" s="8"/>
      <c r="F25" s="1">
        <f>VLOOKUP(C8,'3rd Term'!B9:AN48,14,FALSE)</f>
        <v>25</v>
      </c>
      <c r="G25" s="31">
        <f>VLOOKUP(C8,'3rd Term'!B9:AN48,15,FALSE)</f>
        <v>30</v>
      </c>
      <c r="H25" s="31">
        <f t="shared" si="1"/>
        <v>55</v>
      </c>
      <c r="I25" s="31">
        <f>(VLOOKUP(C8,'2nd Term'!B9:AN48,14,FALSE))+(VLOOKUP(C8,'2nd Term'!B9:AN48,15,FALSE))</f>
        <v>53</v>
      </c>
      <c r="J25" s="31">
        <f>(VLOOKUP($C$8,'1st Term'!$B$9:$AN$48,14,FALSE))+(VLOOKUP($C$8,'1st Term'!$B$9:$AN$48,15,FALSE))</f>
        <v>62</v>
      </c>
      <c r="K25" s="31">
        <f t="shared" si="2"/>
        <v>170</v>
      </c>
      <c r="L25" s="26">
        <f t="shared" si="0"/>
        <v>56.666666666666664</v>
      </c>
      <c r="M25" s="31" t="str">
        <f t="shared" si="3"/>
        <v>C</v>
      </c>
    </row>
    <row r="26" spans="1:13" ht="15" customHeight="1" x14ac:dyDescent="0.25">
      <c r="A26" s="20" t="s">
        <v>10</v>
      </c>
      <c r="B26" s="8"/>
      <c r="C26" s="8"/>
      <c r="D26" s="8"/>
      <c r="E26" s="8"/>
      <c r="F26" s="1">
        <f>VLOOKUP(C8,'3rd Term'!B9:AN48,16,FALSE)</f>
        <v>18</v>
      </c>
      <c r="G26" s="31">
        <f>VLOOKUP(C8,'3rd Term'!B9:AN48,17,FALSE)</f>
        <v>40</v>
      </c>
      <c r="H26" s="31">
        <f t="shared" si="1"/>
        <v>58</v>
      </c>
      <c r="I26" s="31">
        <f>(VLOOKUP(C8,'2nd Term'!B9:AN48,16,FALSE))+(VLOOKUP(C8,'2nd Term'!B9:AN48,17,FALSE))</f>
        <v>54</v>
      </c>
      <c r="J26" s="31">
        <f>(VLOOKUP($C$8,'1st Term'!$B$9:$AN$48,16,FALSE))+(VLOOKUP($C$8,'1st Term'!$B$9:$AN$48,17,FALSE))</f>
        <v>34</v>
      </c>
      <c r="K26" s="31">
        <f t="shared" si="2"/>
        <v>146</v>
      </c>
      <c r="L26" s="26">
        <f t="shared" si="0"/>
        <v>48.666666666666664</v>
      </c>
      <c r="M26" s="31" t="str">
        <f t="shared" si="3"/>
        <v>P</v>
      </c>
    </row>
    <row r="27" spans="1:13" ht="15" hidden="1" customHeight="1" x14ac:dyDescent="0.25">
      <c r="A27" s="20" t="s">
        <v>11</v>
      </c>
      <c r="B27" s="8"/>
      <c r="C27" s="8"/>
      <c r="D27" s="8"/>
      <c r="E27" s="8"/>
      <c r="F27" s="1">
        <f>VLOOKUP(C8,'3rd Term'!B9:AN48,18,FALSE)</f>
        <v>0</v>
      </c>
      <c r="G27" s="31">
        <f>VLOOKUP(C8,'3rd Term'!B9:AN48,19,FALSE)</f>
        <v>0</v>
      </c>
      <c r="H27" s="31">
        <f t="shared" si="1"/>
        <v>0</v>
      </c>
      <c r="I27" s="31">
        <f>(VLOOKUP(C8,'2nd Term'!B9:AN48,18,FALSE))+(VLOOKUP(C8,'2nd Term'!B9:AN48,19,FALSE))</f>
        <v>0</v>
      </c>
      <c r="J27" s="31">
        <f>(VLOOKUP($C$8,'1st Term'!$B$9:$AN$48,18,FALSE))+(VLOOKUP($C$8,'1st Term'!$B$9:$AN$48,19,FALSE))</f>
        <v>0</v>
      </c>
      <c r="K27" s="31" t="str">
        <f t="shared" si="2"/>
        <v>-</v>
      </c>
      <c r="L27" s="26" t="str">
        <f t="shared" si="0"/>
        <v>-</v>
      </c>
      <c r="M27" s="31" t="str">
        <f t="shared" si="3"/>
        <v>-</v>
      </c>
    </row>
    <row r="28" spans="1:13" ht="15" customHeight="1" x14ac:dyDescent="0.25">
      <c r="A28" s="20" t="s">
        <v>13</v>
      </c>
      <c r="B28" s="8"/>
      <c r="C28" s="8"/>
      <c r="D28" s="8"/>
      <c r="E28" s="8"/>
      <c r="F28" s="1">
        <f>VLOOKUP(C8,'3rd Term'!B9:AN48,20,FALSE)</f>
        <v>21</v>
      </c>
      <c r="G28" s="31">
        <f>VLOOKUP(C8,'3rd Term'!B9:AN48,21,FALSE)</f>
        <v>33</v>
      </c>
      <c r="H28" s="31">
        <f t="shared" si="1"/>
        <v>54</v>
      </c>
      <c r="I28" s="31">
        <f>(VLOOKUP(C8,'2nd Term'!B9:AN48,20,FALSE))+(VLOOKUP(C8,'2nd Term'!B9:AN48,21,FALSE))</f>
        <v>38</v>
      </c>
      <c r="J28" s="31">
        <f>(VLOOKUP($C$8,'1st Term'!$B$9:$AN$48,20,FALSE))+(VLOOKUP($C$8,'1st Term'!$B$9:$AN$48,21,FALSE))</f>
        <v>50</v>
      </c>
      <c r="K28" s="31">
        <f t="shared" si="2"/>
        <v>142</v>
      </c>
      <c r="L28" s="26">
        <f t="shared" si="0"/>
        <v>47.333333333333336</v>
      </c>
      <c r="M28" s="31" t="str">
        <f t="shared" si="3"/>
        <v>P</v>
      </c>
    </row>
    <row r="29" spans="1:13" x14ac:dyDescent="0.25">
      <c r="A29" s="20" t="s">
        <v>14</v>
      </c>
      <c r="B29" s="8"/>
      <c r="C29" s="8"/>
      <c r="D29" s="8"/>
      <c r="E29" s="8"/>
      <c r="F29" s="1">
        <f>VLOOKUP(C8,'3rd Term'!B9:AN48,22,FALSE)</f>
        <v>27</v>
      </c>
      <c r="G29" s="31">
        <f>VLOOKUP(C8,'3rd Term'!B9:AN48,23,FALSE)</f>
        <v>55</v>
      </c>
      <c r="H29" s="31">
        <f t="shared" si="1"/>
        <v>82</v>
      </c>
      <c r="I29" s="31">
        <f>(VLOOKUP(C8,'2nd Term'!B9:AN48,22,FALSE))+(VLOOKUP(C8,'2nd Term'!B9:AN48,23,FALSE))</f>
        <v>56</v>
      </c>
      <c r="J29" s="31">
        <f>(VLOOKUP($C$8,'1st Term'!$B$9:$AN$48,22,FALSE))+(VLOOKUP($C$8,'1st Term'!$B$9:$AN$48,23,FALSE))</f>
        <v>29</v>
      </c>
      <c r="K29" s="31">
        <f t="shared" si="2"/>
        <v>167</v>
      </c>
      <c r="L29" s="26">
        <f t="shared" si="0"/>
        <v>55.666666666666664</v>
      </c>
      <c r="M29" s="31" t="str">
        <f t="shared" si="3"/>
        <v>C</v>
      </c>
    </row>
    <row r="30" spans="1:13" x14ac:dyDescent="0.25">
      <c r="A30" s="20" t="s">
        <v>15</v>
      </c>
      <c r="B30" s="8"/>
      <c r="C30" s="8"/>
      <c r="D30" s="8"/>
      <c r="E30" s="8"/>
      <c r="F30" s="1">
        <f>VLOOKUP(C8,'3rd Term'!B9:AN48,24,FALSE)</f>
        <v>21</v>
      </c>
      <c r="G30" s="31">
        <f>VLOOKUP(C8,'3rd Term'!B9:AN48,25,FALSE)</f>
        <v>33</v>
      </c>
      <c r="H30" s="31">
        <f t="shared" si="1"/>
        <v>54</v>
      </c>
      <c r="I30" s="31">
        <f>(VLOOKUP(C8,'2nd Term'!B9:AN48,24,FALSE))+(VLOOKUP(C8,'2nd Term'!B9:AN48,25,FALSE))</f>
        <v>45</v>
      </c>
      <c r="J30" s="31">
        <f>(VLOOKUP($C$8,'1st Term'!$B$9:$AN$48,24,FALSE))+(VLOOKUP($C$8,'1st Term'!$B$9:$AN$48,25,FALSE))</f>
        <v>60</v>
      </c>
      <c r="K30" s="31">
        <f t="shared" si="2"/>
        <v>159</v>
      </c>
      <c r="L30" s="26">
        <f t="shared" si="0"/>
        <v>53</v>
      </c>
      <c r="M30" s="31" t="str">
        <f t="shared" si="3"/>
        <v>C</v>
      </c>
    </row>
    <row r="31" spans="1:13" hidden="1" x14ac:dyDescent="0.25">
      <c r="A31" s="20" t="s">
        <v>22</v>
      </c>
      <c r="B31" s="8"/>
      <c r="C31" s="8"/>
      <c r="D31" s="8"/>
      <c r="E31" s="8"/>
      <c r="F31" s="1">
        <f>VLOOKUP(C8,'3rd Term'!B9:AN48,26,FALSE)</f>
        <v>0</v>
      </c>
      <c r="G31" s="31">
        <f>VLOOKUP(C8,'3rd Term'!B9:AN48,27,FALSE)</f>
        <v>0</v>
      </c>
      <c r="H31" s="31">
        <f t="shared" si="1"/>
        <v>0</v>
      </c>
      <c r="I31" s="31">
        <f>(VLOOKUP(C8,'2nd Term'!B9:AN48,26,FALSE))+(VLOOKUP(C8,'2nd Term'!B9:AN48,27,FALSE))</f>
        <v>0</v>
      </c>
      <c r="J31" s="31">
        <f>(VLOOKUP($C$8,'1st Term'!$B$9:$AN$48,26,FALSE))+(VLOOKUP($C$8,'1st Term'!$B$9:$AN$48,27,FALSE))</f>
        <v>0</v>
      </c>
      <c r="K31" s="31" t="str">
        <f t="shared" si="2"/>
        <v>-</v>
      </c>
      <c r="L31" s="26" t="str">
        <f t="shared" si="0"/>
        <v>-</v>
      </c>
      <c r="M31" s="31" t="str">
        <f t="shared" si="3"/>
        <v>-</v>
      </c>
    </row>
    <row r="32" spans="1:13" x14ac:dyDescent="0.25">
      <c r="A32" s="20" t="s">
        <v>16</v>
      </c>
      <c r="B32" s="8"/>
      <c r="C32" s="8"/>
      <c r="D32" s="8"/>
      <c r="E32" s="8"/>
      <c r="F32" s="1">
        <f>VLOOKUP(C8,'3rd Term'!B9:AN48,28,FALSE)</f>
        <v>21</v>
      </c>
      <c r="G32" s="31">
        <f>VLOOKUP(C8,'3rd Term'!B9:AN48,29,FALSE)</f>
        <v>16</v>
      </c>
      <c r="H32" s="31">
        <f t="shared" si="1"/>
        <v>37</v>
      </c>
      <c r="I32" s="31">
        <f>(VLOOKUP(C8,'2nd Term'!B9:AN48,28,FALSE))+(VLOOKUP(C8,'2nd Term'!B9:AN48,29,FALSE))</f>
        <v>33</v>
      </c>
      <c r="J32" s="31">
        <f>(VLOOKUP($C$8,'1st Term'!$B$9:$AN$48,28,FALSE))+(VLOOKUP($C$8,'1st Term'!$B$9:$AN$48,29,FALSE))</f>
        <v>40</v>
      </c>
      <c r="K32" s="31">
        <f t="shared" si="2"/>
        <v>110</v>
      </c>
      <c r="L32" s="26">
        <f t="shared" si="0"/>
        <v>36.666666666666664</v>
      </c>
      <c r="M32" s="31" t="str">
        <f t="shared" si="3"/>
        <v>F</v>
      </c>
    </row>
    <row r="33" spans="1:13" x14ac:dyDescent="0.25">
      <c r="A33" s="20" t="s">
        <v>17</v>
      </c>
      <c r="B33" s="8"/>
      <c r="C33" s="8"/>
      <c r="D33" s="8"/>
      <c r="E33" s="8"/>
      <c r="F33" s="1">
        <f>VLOOKUP(C8,'3rd Term'!B9:AN48,30,FALSE)</f>
        <v>28</v>
      </c>
      <c r="G33" s="31">
        <f>VLOOKUP(C8,'3rd Term'!B9:AN48,31,FALSE)</f>
        <v>25</v>
      </c>
      <c r="H33" s="31">
        <f t="shared" si="1"/>
        <v>53</v>
      </c>
      <c r="I33" s="31">
        <f>(VLOOKUP(C8,'2nd Term'!B9:AN48,30,FALSE))+(VLOOKUP(C8,'2nd Term'!B9:AN48,31,FALSE))</f>
        <v>43</v>
      </c>
      <c r="J33" s="31">
        <f>(VLOOKUP($C$8,'1st Term'!$B$9:$AN$48,30,FALSE))+(VLOOKUP($C$8,'1st Term'!$B$9:$AN$48,31,FALSE))</f>
        <v>36</v>
      </c>
      <c r="K33" s="31">
        <f t="shared" si="2"/>
        <v>132</v>
      </c>
      <c r="L33" s="26">
        <f t="shared" si="0"/>
        <v>44</v>
      </c>
      <c r="M33" s="31" t="str">
        <f t="shared" si="3"/>
        <v>P</v>
      </c>
    </row>
    <row r="34" spans="1:13" x14ac:dyDescent="0.25">
      <c r="A34" s="20" t="s">
        <v>18</v>
      </c>
      <c r="B34" s="8"/>
      <c r="C34" s="8"/>
      <c r="D34" s="8"/>
      <c r="E34" s="8"/>
      <c r="F34" s="1">
        <f>VLOOKUP(C8,'3rd Term'!B9:AN48,32,FALSE)</f>
        <v>25</v>
      </c>
      <c r="G34" s="31">
        <f>VLOOKUP(C8,'3rd Term'!B9:AN48,33,FALSE)</f>
        <v>41</v>
      </c>
      <c r="H34" s="31">
        <f t="shared" si="1"/>
        <v>66</v>
      </c>
      <c r="I34" s="31">
        <f>(VLOOKUP(C8,'2nd Term'!B9:AN48,32,FALSE))+(VLOOKUP(C8,'2nd Term'!B9:AN48,33,FALSE))</f>
        <v>58</v>
      </c>
      <c r="J34" s="31">
        <f>(VLOOKUP($C$8,'1st Term'!$B$9:$AN$48,32,FALSE))+(VLOOKUP($C$8,'1st Term'!$B$9:$AN$48,33,FALSE))</f>
        <v>54</v>
      </c>
      <c r="K34" s="31">
        <f t="shared" si="2"/>
        <v>178</v>
      </c>
      <c r="L34" s="26">
        <f t="shared" si="0"/>
        <v>59.333333333333336</v>
      </c>
      <c r="M34" s="31" t="str">
        <f t="shared" si="3"/>
        <v>C</v>
      </c>
    </row>
    <row r="35" spans="1:13" x14ac:dyDescent="0.25">
      <c r="A35" s="20" t="s">
        <v>19</v>
      </c>
      <c r="B35" s="8"/>
      <c r="C35" s="8"/>
      <c r="D35" s="8"/>
      <c r="E35" s="8"/>
      <c r="F35" s="1">
        <f>VLOOKUP(C8,'3rd Term'!B9:AN48,34,FALSE)</f>
        <v>26</v>
      </c>
      <c r="G35" s="31">
        <f>VLOOKUP(C8,'3rd Term'!B9:AN48,35,FALSE)</f>
        <v>36</v>
      </c>
      <c r="H35" s="31">
        <f t="shared" si="1"/>
        <v>62</v>
      </c>
      <c r="I35" s="31">
        <f>(VLOOKUP(C8,'2nd Term'!B9:AN48,34,FALSE))+(VLOOKUP(C8,'2nd Term'!B9:AN48,35,FALSE))</f>
        <v>40</v>
      </c>
      <c r="J35" s="31">
        <f>(VLOOKUP($C$8,'1st Term'!$B$9:$AN$48,34,FALSE))+(VLOOKUP($C$8,'1st Term'!$B$9:$AN$48,35,FALSE))</f>
        <v>50</v>
      </c>
      <c r="K35" s="31">
        <f t="shared" si="2"/>
        <v>152</v>
      </c>
      <c r="L35" s="26">
        <f t="shared" si="0"/>
        <v>50.666666666666664</v>
      </c>
      <c r="M35" s="31" t="str">
        <f t="shared" si="3"/>
        <v>C</v>
      </c>
    </row>
    <row r="36" spans="1:13" x14ac:dyDescent="0.25">
      <c r="A36" s="20" t="s">
        <v>20</v>
      </c>
      <c r="B36" s="8"/>
      <c r="C36" s="8"/>
      <c r="D36" s="8"/>
      <c r="E36" s="8"/>
      <c r="F36" s="1">
        <f>VLOOKUP(C8,'3rd Term'!B9:AN48,36,FALSE)</f>
        <v>26</v>
      </c>
      <c r="G36" s="31">
        <f>VLOOKUP(C8,'3rd Term'!B9:AN48,37,FALSE)</f>
        <v>44</v>
      </c>
      <c r="H36" s="31">
        <f t="shared" si="1"/>
        <v>70</v>
      </c>
      <c r="I36" s="31">
        <f>(VLOOKUP(C8,'2nd Term'!B9:AN48,36,FALSE))+(VLOOKUP(C8,'2nd Term'!B9:AN48,37,FALSE))</f>
        <v>64</v>
      </c>
      <c r="J36" s="31">
        <f>(VLOOKUP($C$8,'1st Term'!$B$9:$AN$48,36,FALSE))+(VLOOKUP($C$8,'1st Term'!$B$9:$AN$48,37,FALSE))</f>
        <v>41</v>
      </c>
      <c r="K36" s="31">
        <f t="shared" si="2"/>
        <v>175</v>
      </c>
      <c r="L36" s="26">
        <f t="shared" si="0"/>
        <v>58.333333333333336</v>
      </c>
      <c r="M36" s="31" t="str">
        <f t="shared" si="3"/>
        <v>C</v>
      </c>
    </row>
    <row r="37" spans="1:13" x14ac:dyDescent="0.25">
      <c r="A37" s="18" t="s">
        <v>21</v>
      </c>
      <c r="B37" s="7"/>
      <c r="C37" s="7"/>
      <c r="D37" s="7"/>
      <c r="E37" s="7"/>
      <c r="F37" s="57">
        <f>VLOOKUP(C8,'3rd Term'!B9:AN48,38,FALSE)</f>
        <v>21</v>
      </c>
      <c r="G37" s="31">
        <f>VLOOKUP(C8,'3rd Term'!B9:AN48,39,FALSE)</f>
        <v>42</v>
      </c>
      <c r="H37" s="31">
        <f t="shared" si="1"/>
        <v>63</v>
      </c>
      <c r="I37" s="31">
        <f>(VLOOKUP(C8,'2nd Term'!B9:AN48,38,FALSE))+(VLOOKUP(C8,'2nd Term'!B9:AN48,39,FALSE))</f>
        <v>47</v>
      </c>
      <c r="J37" s="31">
        <f>(VLOOKUP($C$8,'1st Term'!$B$9:$AN$48,38,FALSE))+(VLOOKUP($C$8,'1st Term'!$B$9:$AN$48,39,FALSE))</f>
        <v>32</v>
      </c>
      <c r="K37" s="31">
        <f t="shared" si="2"/>
        <v>142</v>
      </c>
      <c r="L37" s="26">
        <f t="shared" si="0"/>
        <v>47.333333333333336</v>
      </c>
      <c r="M37" s="31" t="str">
        <f t="shared" si="3"/>
        <v>P</v>
      </c>
    </row>
    <row r="43" spans="1:13" x14ac:dyDescent="0.25">
      <c r="G43" s="110" t="s">
        <v>62</v>
      </c>
      <c r="H43" s="110"/>
      <c r="I43" s="110"/>
      <c r="J43" s="110"/>
      <c r="K43" s="110"/>
      <c r="L43" s="110"/>
      <c r="M43" s="110"/>
    </row>
    <row r="44" spans="1:13" x14ac:dyDescent="0.25">
      <c r="A44" s="77" t="s">
        <v>58</v>
      </c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</row>
    <row r="45" spans="1:13" ht="12.75" customHeight="1" x14ac:dyDescent="0.25">
      <c r="A45" s="50" t="str">
        <f>VLOOKUP(C8,comments!B8:X47,7,0)</f>
        <v>She is improving gradually but needs to participate more in class discussions.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</row>
    <row r="46" spans="1:13" x14ac:dyDescent="0.25">
      <c r="A46" s="50"/>
      <c r="B46" s="50"/>
      <c r="C46" s="50"/>
      <c r="D46" s="50"/>
      <c r="E46" s="50"/>
      <c r="F46" s="78"/>
      <c r="G46" s="78"/>
      <c r="H46" s="78"/>
      <c r="I46" s="78"/>
      <c r="J46" s="78"/>
      <c r="K46" s="78"/>
      <c r="L46" s="78"/>
      <c r="M46" s="78"/>
    </row>
    <row r="47" spans="1:13" x14ac:dyDescent="0.25">
      <c r="A47" s="79" t="s">
        <v>60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</row>
    <row r="48" spans="1:13" ht="12" customHeight="1" x14ac:dyDescent="0.25">
      <c r="A48" s="50" t="str">
        <f>VLOOKUP(C8,comments!B8:X47,14,0)</f>
        <v>Just fair. You can improve if only you will be more regular at school next term. Promoted to the Next Class.</v>
      </c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</row>
    <row r="49" spans="1:13" x14ac:dyDescent="0.25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</row>
    <row r="50" spans="1:13" x14ac:dyDescent="0.25">
      <c r="A50" s="79" t="s">
        <v>59</v>
      </c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</row>
    <row r="51" spans="1:13" ht="12" customHeight="1" x14ac:dyDescent="0.25">
      <c r="A51" s="78" t="s">
        <v>61</v>
      </c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</row>
  </sheetData>
  <sheetProtection algorithmName="SHA-512" hashValue="SthjMwvx+xKTO/iUo6pmpfmkE7Q8NN07T4RNiW/iJzJ8WuevWZ3S3Al3Em26ewjgwZ+vGNKDW9SW98xvze8gyA==" saltValue="yS69c6M/agdrPT/PiH6ZbQ==" spinCount="100000" sheet="1" scenarios="1"/>
  <mergeCells count="13">
    <mergeCell ref="I14:I17"/>
    <mergeCell ref="A18:B18"/>
    <mergeCell ref="G43:M43"/>
    <mergeCell ref="B1:M2"/>
    <mergeCell ref="B3:M3"/>
    <mergeCell ref="B4:M4"/>
    <mergeCell ref="B5:M6"/>
    <mergeCell ref="K7:M12"/>
    <mergeCell ref="A8:B8"/>
    <mergeCell ref="A9:B9"/>
    <mergeCell ref="A10:B10"/>
    <mergeCell ref="A11:B11"/>
    <mergeCell ref="A12:B12"/>
  </mergeCells>
  <conditionalFormatting sqref="M19:M37">
    <cfRule type="cellIs" dxfId="29" priority="3" operator="equal">
      <formula>"F"</formula>
    </cfRule>
    <cfRule type="cellIs" dxfId="28" priority="4" operator="equal">
      <formula>"P"</formula>
    </cfRule>
    <cfRule type="cellIs" dxfId="27" priority="5" operator="equal">
      <formula>"C"</formula>
    </cfRule>
    <cfRule type="cellIs" dxfId="26" priority="6" operator="equal">
      <formula>"A"</formula>
    </cfRule>
  </conditionalFormatting>
  <conditionalFormatting sqref="F19:J37">
    <cfRule type="cellIs" dxfId="25" priority="1" operator="equal">
      <formula>0</formula>
    </cfRule>
    <cfRule type="colorScale" priority="2">
      <colorScale>
        <cfvo type="min"/>
        <cfvo type="num" val="0"/>
        <color rgb="FFFF7128"/>
        <color theme="0"/>
      </colorScale>
    </cfRule>
  </conditionalFormatting>
  <dataValidations count="1">
    <dataValidation type="list" allowBlank="1" showInputMessage="1" showErrorMessage="1" sqref="M14:M17" xr:uid="{B1C1D8E5-262F-437C-AB00-E9E36F57CB87}">
      <formula1>"A,B,C,D,E"</formula1>
    </dataValidation>
  </dataValidations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1C93B-8CF4-400E-AE2F-20ACAAC03F59}">
  <sheetPr>
    <tabColor rgb="FF7030A0"/>
  </sheetPr>
  <dimension ref="A1:M51"/>
  <sheetViews>
    <sheetView workbookViewId="0">
      <selection activeCell="O11" sqref="O11"/>
    </sheetView>
  </sheetViews>
  <sheetFormatPr defaultRowHeight="15" x14ac:dyDescent="0.25"/>
  <cols>
    <col min="3" max="3" width="8.140625" customWidth="1"/>
    <col min="4" max="4" width="9.42578125" customWidth="1"/>
    <col min="5" max="5" width="10.5703125" customWidth="1"/>
    <col min="6" max="6" width="6.28515625" customWidth="1"/>
    <col min="7" max="8" width="5.85546875" customWidth="1"/>
    <col min="9" max="9" width="5.5703125" customWidth="1"/>
    <col min="10" max="11" width="5.28515625" customWidth="1"/>
    <col min="12" max="12" width="6.28515625" customWidth="1"/>
    <col min="13" max="13" width="5.7109375" customWidth="1"/>
  </cols>
  <sheetData>
    <row r="1" spans="1:13" ht="15" customHeight="1" x14ac:dyDescent="0.25">
      <c r="A1" s="10"/>
      <c r="B1" s="116" t="s">
        <v>185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</row>
    <row r="2" spans="1:13" ht="15" customHeight="1" x14ac:dyDescent="0.25">
      <c r="A2" s="10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</row>
    <row r="3" spans="1:13" ht="15.75" x14ac:dyDescent="0.25">
      <c r="A3" s="10"/>
      <c r="B3" s="117" t="s">
        <v>184</v>
      </c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</row>
    <row r="4" spans="1:13" ht="15.75" x14ac:dyDescent="0.25">
      <c r="A4" s="10"/>
      <c r="B4" s="118" t="s">
        <v>186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</row>
    <row r="5" spans="1:13" ht="15" customHeight="1" x14ac:dyDescent="0.25">
      <c r="A5" s="10"/>
      <c r="B5" s="119" t="s">
        <v>36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</row>
    <row r="6" spans="1:13" ht="15" customHeight="1" x14ac:dyDescent="0.25">
      <c r="A6" s="10"/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</row>
    <row r="7" spans="1:13" ht="15" customHeight="1" x14ac:dyDescent="0.25">
      <c r="I7" s="10"/>
      <c r="J7" s="10"/>
      <c r="K7" s="122" t="s">
        <v>105</v>
      </c>
      <c r="L7" s="122"/>
      <c r="M7" s="122"/>
    </row>
    <row r="8" spans="1:13" x14ac:dyDescent="0.25">
      <c r="A8" s="120" t="s">
        <v>37</v>
      </c>
      <c r="B8" s="120"/>
      <c r="C8" s="29" t="str">
        <f>('1st Term'!B26)</f>
        <v>ONYINYECHI ANITA</v>
      </c>
      <c r="D8" s="8"/>
      <c r="E8" s="8"/>
      <c r="F8" s="8"/>
      <c r="G8" s="8"/>
      <c r="H8" s="9"/>
      <c r="I8" s="10"/>
      <c r="J8" s="10"/>
      <c r="K8" s="122"/>
      <c r="L8" s="122"/>
      <c r="M8" s="122"/>
    </row>
    <row r="9" spans="1:13" x14ac:dyDescent="0.25">
      <c r="A9" s="121" t="s">
        <v>38</v>
      </c>
      <c r="B9" s="115"/>
      <c r="C9" s="29" t="str">
        <f>('1st Term'!B7)</f>
        <v>JSS 1A</v>
      </c>
      <c r="D9" s="8"/>
      <c r="E9" s="8"/>
      <c r="F9" s="8"/>
      <c r="G9" s="8"/>
      <c r="H9" s="9"/>
      <c r="I9" s="10"/>
      <c r="J9" s="10"/>
      <c r="K9" s="122"/>
      <c r="L9" s="122"/>
      <c r="M9" s="122"/>
    </row>
    <row r="10" spans="1:13" x14ac:dyDescent="0.25">
      <c r="A10" s="121" t="s">
        <v>39</v>
      </c>
      <c r="B10" s="115"/>
      <c r="C10" s="29" t="str">
        <f>(comments!C4)</f>
        <v>2025/2026</v>
      </c>
      <c r="D10" s="8"/>
      <c r="E10" s="8"/>
      <c r="F10" s="43"/>
      <c r="G10" s="43"/>
      <c r="H10" s="9"/>
      <c r="I10" s="10"/>
      <c r="J10" s="10"/>
      <c r="K10" s="122"/>
      <c r="L10" s="122"/>
      <c r="M10" s="122"/>
    </row>
    <row r="11" spans="1:13" x14ac:dyDescent="0.25">
      <c r="A11" s="121" t="s">
        <v>40</v>
      </c>
      <c r="B11" s="115"/>
      <c r="C11" s="30" t="str">
        <f>(comments!B5)</f>
        <v>THIRD TERM</v>
      </c>
      <c r="D11" s="7"/>
      <c r="E11" s="7"/>
      <c r="F11" s="13" t="s">
        <v>167</v>
      </c>
      <c r="G11" s="8"/>
      <c r="H11" s="53">
        <f>INDEX(comments!D8:D47,MATCH(sheet18!C8,comments!B8:B47,0))</f>
        <v>59.764705882352949</v>
      </c>
      <c r="I11" s="10"/>
      <c r="J11" s="10"/>
      <c r="K11" s="122"/>
      <c r="L11" s="122"/>
      <c r="M11" s="122"/>
    </row>
    <row r="12" spans="1:13" x14ac:dyDescent="0.25">
      <c r="A12" s="114" t="s">
        <v>41</v>
      </c>
      <c r="B12" s="115"/>
      <c r="C12" s="30" t="str">
        <f>(comments!E6)</f>
        <v>20TH APRIL 2026</v>
      </c>
      <c r="D12" s="7"/>
      <c r="E12" s="7"/>
      <c r="F12" s="13" t="s">
        <v>44</v>
      </c>
      <c r="G12" s="8"/>
      <c r="H12" s="51" t="str">
        <f>INDEX(comments!E8:E47,MATCH(sheet18!C8,comments!B8:B47,0))</f>
        <v>7th</v>
      </c>
      <c r="I12" s="10"/>
      <c r="J12" s="10"/>
      <c r="K12" s="123"/>
      <c r="L12" s="123"/>
      <c r="M12" s="123"/>
    </row>
    <row r="13" spans="1:13" x14ac:dyDescent="0.25">
      <c r="A13" s="48"/>
      <c r="B13" s="49"/>
      <c r="C13" s="50"/>
      <c r="F13" s="25"/>
      <c r="H13" s="52"/>
      <c r="I13" s="10"/>
      <c r="J13" s="10"/>
      <c r="K13" s="54"/>
      <c r="L13" s="54"/>
      <c r="M13" s="54"/>
    </row>
    <row r="14" spans="1:13" ht="16.5" customHeight="1" x14ac:dyDescent="0.25">
      <c r="A14" s="16" t="s">
        <v>48</v>
      </c>
      <c r="B14" s="8"/>
      <c r="C14" s="8"/>
      <c r="D14" s="13" t="s">
        <v>49</v>
      </c>
      <c r="E14" s="8"/>
      <c r="F14" s="8"/>
      <c r="G14" s="8"/>
      <c r="H14" s="15"/>
      <c r="I14" s="113" t="s">
        <v>50</v>
      </c>
      <c r="J14" s="45" t="s">
        <v>32</v>
      </c>
      <c r="K14" s="44"/>
      <c r="L14" s="17"/>
      <c r="M14" s="44" t="s">
        <v>52</v>
      </c>
    </row>
    <row r="15" spans="1:13" ht="21" customHeight="1" x14ac:dyDescent="0.25">
      <c r="A15" s="11" t="s">
        <v>46</v>
      </c>
      <c r="B15" s="7"/>
      <c r="C15" s="7"/>
      <c r="D15" s="55">
        <f>(comments!C6)</f>
        <v>110</v>
      </c>
      <c r="E15" s="8"/>
      <c r="F15" s="8"/>
      <c r="G15" s="8"/>
      <c r="H15" s="14"/>
      <c r="I15" s="113"/>
      <c r="J15" s="45" t="s">
        <v>33</v>
      </c>
      <c r="K15" s="44"/>
      <c r="L15" s="17"/>
      <c r="M15" s="44" t="s">
        <v>51</v>
      </c>
    </row>
    <row r="16" spans="1:13" ht="18.75" customHeight="1" x14ac:dyDescent="0.25">
      <c r="A16" s="12" t="s">
        <v>47</v>
      </c>
      <c r="B16" s="8"/>
      <c r="C16" s="8"/>
      <c r="D16" s="56">
        <f>VLOOKUP(C8,comments!B8:C47,2,FALSE)</f>
        <v>0</v>
      </c>
      <c r="E16" s="8"/>
      <c r="F16" s="8"/>
      <c r="G16" s="8"/>
      <c r="H16" s="14"/>
      <c r="I16" s="113"/>
      <c r="J16" s="45" t="s">
        <v>34</v>
      </c>
      <c r="K16" s="44"/>
      <c r="L16" s="17"/>
      <c r="M16" s="44" t="s">
        <v>51</v>
      </c>
    </row>
    <row r="17" spans="1:13" ht="17.25" customHeight="1" x14ac:dyDescent="0.25">
      <c r="A17" s="11" t="s">
        <v>45</v>
      </c>
      <c r="B17" s="7"/>
      <c r="C17" s="7"/>
      <c r="D17" s="56">
        <f>(comments!D6)</f>
        <v>22</v>
      </c>
      <c r="E17" s="8"/>
      <c r="F17" s="8"/>
      <c r="G17" s="8"/>
      <c r="H17" s="14"/>
      <c r="I17" s="113"/>
      <c r="J17" s="47" t="s">
        <v>35</v>
      </c>
      <c r="K17" s="46"/>
      <c r="L17" s="40"/>
      <c r="M17" s="44" t="s">
        <v>52</v>
      </c>
    </row>
    <row r="18" spans="1:13" ht="61.5" customHeight="1" x14ac:dyDescent="0.25">
      <c r="A18" s="111" t="s">
        <v>53</v>
      </c>
      <c r="B18" s="112"/>
      <c r="C18" s="19"/>
      <c r="D18" s="19"/>
      <c r="E18" s="19"/>
      <c r="F18" s="41" t="s">
        <v>172</v>
      </c>
      <c r="G18" s="41" t="s">
        <v>171</v>
      </c>
      <c r="H18" s="41" t="s">
        <v>173</v>
      </c>
      <c r="I18" s="42" t="s">
        <v>174</v>
      </c>
      <c r="J18" s="42" t="s">
        <v>175</v>
      </c>
      <c r="K18" s="41" t="s">
        <v>165</v>
      </c>
      <c r="L18" s="41" t="s">
        <v>166</v>
      </c>
      <c r="M18" s="41" t="s">
        <v>54</v>
      </c>
    </row>
    <row r="19" spans="1:13" ht="15" customHeight="1" x14ac:dyDescent="0.25">
      <c r="A19" s="20" t="s">
        <v>6</v>
      </c>
      <c r="B19" s="8"/>
      <c r="C19" s="8"/>
      <c r="D19" s="8"/>
      <c r="E19" s="8"/>
      <c r="F19" s="31">
        <f>VLOOKUP(C8,'3rd Term'!B9:AN48,2,FALSE)</f>
        <v>21</v>
      </c>
      <c r="G19" s="31">
        <f>VLOOKUP(C8,'3rd Term'!B9:AN48,3,FALSE)</f>
        <v>27</v>
      </c>
      <c r="H19" s="31">
        <f>SUM(F19:G19)</f>
        <v>48</v>
      </c>
      <c r="I19" s="5">
        <f>(VLOOKUP(C8,'2nd Term'!B9:AN48,2,FALSE))+(VLOOKUP(C8,'2nd Term'!B9:AN48,3,FALSE))</f>
        <v>88</v>
      </c>
      <c r="J19" s="31">
        <f>(VLOOKUP($C$8,'1st Term'!$B$9:$AN$48,2,FALSE))+(VLOOKUP($C$8,'1st Term'!$B$9:$AN$48,3,FALSE))</f>
        <v>83</v>
      </c>
      <c r="K19" s="31">
        <f>IF(SUM(H19:J19)=0,"-",SUM(H19:J19))</f>
        <v>219</v>
      </c>
      <c r="L19" s="26">
        <f t="shared" ref="L19:L37" si="0">IFERROR(((H19)+(I19)+(J19))/((--(H19&gt;0))+(--(I19&gt;0))+(--(J19&gt;0))),"-")</f>
        <v>73</v>
      </c>
      <c r="M19" s="31" t="str">
        <f>IF(L19="-","-",IF(L19&gt;=70,"A",IF(L19&gt;=50,"C",IF(L19&gt;=40,"P","F"))))</f>
        <v>A</v>
      </c>
    </row>
    <row r="20" spans="1:13" ht="15" customHeight="1" x14ac:dyDescent="0.25">
      <c r="A20" s="20" t="s">
        <v>3</v>
      </c>
      <c r="B20" s="8"/>
      <c r="C20" s="8"/>
      <c r="D20" s="8"/>
      <c r="E20" s="8"/>
      <c r="F20" s="1">
        <f>VLOOKUP(C8,'3rd Term'!B9:AN48,4,FALSE)</f>
        <v>16</v>
      </c>
      <c r="G20" s="31">
        <f>VLOOKUP(C8,'3rd Term'!B9:AN48,5,FALSE)</f>
        <v>26</v>
      </c>
      <c r="H20" s="31">
        <f t="shared" ref="H20:H37" si="1">SUM(F20:G20)</f>
        <v>42</v>
      </c>
      <c r="I20" s="31">
        <f>(VLOOKUP(C8,'2nd Term'!B9:AN48,4,FALSE))+(VLOOKUP(C8,'2nd Term'!B9:AN48,5,FALSE))</f>
        <v>81</v>
      </c>
      <c r="J20" s="31">
        <f>(VLOOKUP($C$8,'1st Term'!$B$9:$AN$48,4,FALSE))+(VLOOKUP($C$8,'1st Term'!$B$9:$AN$48,5,FALSE))</f>
        <v>92</v>
      </c>
      <c r="K20" s="31">
        <f t="shared" ref="K20:K37" si="2">IF(SUM(H20:J20)=0,"-",SUM(H20:J20))</f>
        <v>215</v>
      </c>
      <c r="L20" s="26">
        <f t="shared" si="0"/>
        <v>71.666666666666671</v>
      </c>
      <c r="M20" s="31" t="str">
        <f t="shared" ref="M20:M37" si="3">IF(L20="-","-",IF(L20&gt;=70,"A",IF(L20&gt;=50,"C",IF(L20&gt;=40,"P","F"))))</f>
        <v>A</v>
      </c>
    </row>
    <row r="21" spans="1:13" ht="15" customHeight="1" x14ac:dyDescent="0.25">
      <c r="A21" s="20" t="s">
        <v>4</v>
      </c>
      <c r="B21" s="8"/>
      <c r="C21" s="8"/>
      <c r="D21" s="8"/>
      <c r="E21" s="8"/>
      <c r="F21" s="1">
        <f>VLOOKUP(C8,'3rd Term'!B9:AN48,6,FALSE)</f>
        <v>16</v>
      </c>
      <c r="G21" s="31">
        <f>VLOOKUP(C8,'3rd Term'!B9:AN48,7,FALSE)</f>
        <v>14</v>
      </c>
      <c r="H21" s="31">
        <f t="shared" si="1"/>
        <v>30</v>
      </c>
      <c r="I21" s="31">
        <f>(VLOOKUP(C8,'2nd Term'!B9:AN48,6,FALSE))+(VLOOKUP(C8,'2nd Term'!B9:AN48,7,FALSE))</f>
        <v>99</v>
      </c>
      <c r="J21" s="31">
        <f>(VLOOKUP($C$8,'1st Term'!$B$9:$AN$48,6,FALSE))+(VLOOKUP($C$8,'1st Term'!$B$9:$AN$48,7,FALSE))</f>
        <v>57</v>
      </c>
      <c r="K21" s="31">
        <f t="shared" si="2"/>
        <v>186</v>
      </c>
      <c r="L21" s="26">
        <f t="shared" si="0"/>
        <v>62</v>
      </c>
      <c r="M21" s="31" t="str">
        <f t="shared" si="3"/>
        <v>C</v>
      </c>
    </row>
    <row r="22" spans="1:13" ht="15" customHeight="1" x14ac:dyDescent="0.25">
      <c r="A22" s="20" t="s">
        <v>5</v>
      </c>
      <c r="B22" s="8"/>
      <c r="C22" s="8"/>
      <c r="D22" s="8"/>
      <c r="E22" s="8"/>
      <c r="F22" s="1">
        <f>VLOOKUP(C8,'3rd Term'!B9:AN48,8,FALSE)</f>
        <v>22</v>
      </c>
      <c r="G22" s="31">
        <f>VLOOKUP(C8,'3rd Term'!B9:AN48,9,FALSE)</f>
        <v>30</v>
      </c>
      <c r="H22" s="31">
        <f t="shared" si="1"/>
        <v>52</v>
      </c>
      <c r="I22" s="31">
        <f>(VLOOKUP(C8,'2nd Term'!B9:AN48,8,FALSE))+(VLOOKUP(C8,'2nd Term'!B9:AN48,9,FALSE))</f>
        <v>55</v>
      </c>
      <c r="J22" s="31">
        <f>(VLOOKUP($C$8,'1st Term'!$B$9:$AN$48,8,FALSE))+(VLOOKUP($C$8,'1st Term'!$B$9:$AN$48,9,FALSE))</f>
        <v>62</v>
      </c>
      <c r="K22" s="31">
        <f t="shared" si="2"/>
        <v>169</v>
      </c>
      <c r="L22" s="26">
        <f t="shared" si="0"/>
        <v>56.333333333333336</v>
      </c>
      <c r="M22" s="31" t="str">
        <f t="shared" si="3"/>
        <v>C</v>
      </c>
    </row>
    <row r="23" spans="1:13" ht="15" customHeight="1" x14ac:dyDescent="0.25">
      <c r="A23" s="20" t="s">
        <v>7</v>
      </c>
      <c r="B23" s="8"/>
      <c r="C23" s="8"/>
      <c r="D23" s="8"/>
      <c r="E23" s="8"/>
      <c r="F23" s="1">
        <f>VLOOKUP(C8,'3rd Term'!B9:AN48,10,FALSE)</f>
        <v>15</v>
      </c>
      <c r="G23" s="31">
        <f>VLOOKUP(C8,'3rd Term'!B9:AN48,11,FALSE)</f>
        <v>30</v>
      </c>
      <c r="H23" s="31">
        <f t="shared" si="1"/>
        <v>45</v>
      </c>
      <c r="I23" s="31">
        <f>(VLOOKUP(C8,'2nd Term'!B9:AN48,10,FALSE))+(VLOOKUP(C8,'2nd Term'!B9:AN48,11,FALSE))</f>
        <v>89</v>
      </c>
      <c r="J23" s="31">
        <f>(VLOOKUP($C$8,'1st Term'!$B$9:$AN$48,10,FALSE))+(VLOOKUP($C$8,'1st Term'!$B$9:$AN$48,11,FALSE))</f>
        <v>70</v>
      </c>
      <c r="K23" s="31">
        <f t="shared" si="2"/>
        <v>204</v>
      </c>
      <c r="L23" s="26">
        <f t="shared" si="0"/>
        <v>68</v>
      </c>
      <c r="M23" s="31" t="str">
        <f t="shared" si="3"/>
        <v>C</v>
      </c>
    </row>
    <row r="24" spans="1:13" ht="15" customHeight="1" x14ac:dyDescent="0.25">
      <c r="A24" s="20" t="s">
        <v>8</v>
      </c>
      <c r="B24" s="8"/>
      <c r="C24" s="8"/>
      <c r="D24" s="8"/>
      <c r="E24" s="8"/>
      <c r="F24" s="1">
        <f>VLOOKUP(C8,'3rd Term'!B9:AN48,12,FALSE)</f>
        <v>19</v>
      </c>
      <c r="G24" s="31">
        <f>VLOOKUP(C8,'3rd Term'!B9:AN48,13,FALSE)</f>
        <v>19</v>
      </c>
      <c r="H24" s="31">
        <f t="shared" si="1"/>
        <v>38</v>
      </c>
      <c r="I24" s="31">
        <f>(VLOOKUP(C8,'2nd Term'!B9:AN48,12,FALSE))+(VLOOKUP(C8,'2nd Term'!B9:AN48,13,FALSE))</f>
        <v>58</v>
      </c>
      <c r="J24" s="31">
        <f>(VLOOKUP($C$8,'1st Term'!$B$9:$AN$48,12,FALSE))+(VLOOKUP($C$8,'1st Term'!$B$9:$AN$48,13,FALSE))</f>
        <v>60</v>
      </c>
      <c r="K24" s="31">
        <f t="shared" si="2"/>
        <v>156</v>
      </c>
      <c r="L24" s="26">
        <f t="shared" si="0"/>
        <v>52</v>
      </c>
      <c r="M24" s="31" t="str">
        <f t="shared" si="3"/>
        <v>C</v>
      </c>
    </row>
    <row r="25" spans="1:13" ht="15" customHeight="1" x14ac:dyDescent="0.25">
      <c r="A25" s="20" t="s">
        <v>9</v>
      </c>
      <c r="B25" s="8"/>
      <c r="C25" s="8"/>
      <c r="D25" s="8"/>
      <c r="E25" s="8"/>
      <c r="F25" s="1">
        <f>VLOOKUP(C8,'3rd Term'!B9:AN48,14,FALSE)</f>
        <v>24</v>
      </c>
      <c r="G25" s="31">
        <f>VLOOKUP(C8,'3rd Term'!B9:AN48,15,FALSE)</f>
        <v>17</v>
      </c>
      <c r="H25" s="31">
        <f t="shared" si="1"/>
        <v>41</v>
      </c>
      <c r="I25" s="31">
        <f>(VLOOKUP(C8,'2nd Term'!B9:AN48,14,FALSE))+(VLOOKUP(C8,'2nd Term'!B9:AN48,15,FALSE))</f>
        <v>61</v>
      </c>
      <c r="J25" s="31">
        <f>(VLOOKUP($C$8,'1st Term'!$B$9:$AN$48,14,FALSE))+(VLOOKUP($C$8,'1st Term'!$B$9:$AN$48,15,FALSE))</f>
        <v>61</v>
      </c>
      <c r="K25" s="31">
        <f t="shared" si="2"/>
        <v>163</v>
      </c>
      <c r="L25" s="26">
        <f t="shared" si="0"/>
        <v>54.333333333333336</v>
      </c>
      <c r="M25" s="31" t="str">
        <f t="shared" si="3"/>
        <v>C</v>
      </c>
    </row>
    <row r="26" spans="1:13" ht="15" customHeight="1" x14ac:dyDescent="0.25">
      <c r="A26" s="20" t="s">
        <v>10</v>
      </c>
      <c r="B26" s="8"/>
      <c r="C26" s="8"/>
      <c r="D26" s="8"/>
      <c r="E26" s="8"/>
      <c r="F26" s="1">
        <f>VLOOKUP(C8,'3rd Term'!B9:AN48,16,FALSE)</f>
        <v>10</v>
      </c>
      <c r="G26" s="31">
        <f>VLOOKUP(C8,'3rd Term'!B9:AN48,17,FALSE)</f>
        <v>18</v>
      </c>
      <c r="H26" s="31">
        <f t="shared" si="1"/>
        <v>28</v>
      </c>
      <c r="I26" s="31">
        <f>(VLOOKUP(C8,'2nd Term'!B9:AN48,16,FALSE))+(VLOOKUP(C8,'2nd Term'!B9:AN48,17,FALSE))</f>
        <v>88</v>
      </c>
      <c r="J26" s="31">
        <f>(VLOOKUP($C$8,'1st Term'!$B$9:$AN$48,16,FALSE))+(VLOOKUP($C$8,'1st Term'!$B$9:$AN$48,17,FALSE))</f>
        <v>76</v>
      </c>
      <c r="K26" s="31">
        <f t="shared" si="2"/>
        <v>192</v>
      </c>
      <c r="L26" s="26">
        <f t="shared" si="0"/>
        <v>64</v>
      </c>
      <c r="M26" s="31" t="str">
        <f t="shared" si="3"/>
        <v>C</v>
      </c>
    </row>
    <row r="27" spans="1:13" ht="15" hidden="1" customHeight="1" x14ac:dyDescent="0.25">
      <c r="A27" s="20" t="s">
        <v>11</v>
      </c>
      <c r="B27" s="8"/>
      <c r="C27" s="8"/>
      <c r="D27" s="8"/>
      <c r="E27" s="8"/>
      <c r="F27" s="1">
        <f>VLOOKUP(C8,'3rd Term'!B9:AN48,18,FALSE)</f>
        <v>0</v>
      </c>
      <c r="G27" s="31">
        <f>VLOOKUP(C8,'3rd Term'!B9:AN48,19,FALSE)</f>
        <v>0</v>
      </c>
      <c r="H27" s="31">
        <f t="shared" si="1"/>
        <v>0</v>
      </c>
      <c r="I27" s="31">
        <f>(VLOOKUP(C8,'2nd Term'!B9:AN48,18,FALSE))+(VLOOKUP(C8,'2nd Term'!B9:AN48,19,FALSE))</f>
        <v>0</v>
      </c>
      <c r="J27" s="31">
        <f>(VLOOKUP($C$8,'1st Term'!$B$9:$AN$48,18,FALSE))+(VLOOKUP($C$8,'1st Term'!$B$9:$AN$48,19,FALSE))</f>
        <v>0</v>
      </c>
      <c r="K27" s="31" t="str">
        <f t="shared" si="2"/>
        <v>-</v>
      </c>
      <c r="L27" s="26" t="str">
        <f t="shared" si="0"/>
        <v>-</v>
      </c>
      <c r="M27" s="31" t="str">
        <f t="shared" si="3"/>
        <v>-</v>
      </c>
    </row>
    <row r="28" spans="1:13" ht="15" customHeight="1" x14ac:dyDescent="0.25">
      <c r="A28" s="20" t="s">
        <v>13</v>
      </c>
      <c r="B28" s="8"/>
      <c r="C28" s="8"/>
      <c r="D28" s="8"/>
      <c r="E28" s="8"/>
      <c r="F28" s="1">
        <f>VLOOKUP(C8,'3rd Term'!B9:AN48,20,FALSE)</f>
        <v>13</v>
      </c>
      <c r="G28" s="31">
        <f>VLOOKUP(C8,'3rd Term'!B9:AN48,21,FALSE)</f>
        <v>23</v>
      </c>
      <c r="H28" s="31">
        <f t="shared" si="1"/>
        <v>36</v>
      </c>
      <c r="I28" s="31">
        <f>(VLOOKUP(C8,'2nd Term'!B9:AN48,20,FALSE))+(VLOOKUP(C8,'2nd Term'!B9:AN48,21,FALSE))</f>
        <v>74</v>
      </c>
      <c r="J28" s="31">
        <f>(VLOOKUP($C$8,'1st Term'!$B$9:$AN$48,20,FALSE))+(VLOOKUP($C$8,'1st Term'!$B$9:$AN$48,21,FALSE))</f>
        <v>55</v>
      </c>
      <c r="K28" s="31">
        <f t="shared" si="2"/>
        <v>165</v>
      </c>
      <c r="L28" s="26">
        <f t="shared" si="0"/>
        <v>55</v>
      </c>
      <c r="M28" s="31" t="str">
        <f t="shared" si="3"/>
        <v>C</v>
      </c>
    </row>
    <row r="29" spans="1:13" x14ac:dyDescent="0.25">
      <c r="A29" s="20" t="s">
        <v>14</v>
      </c>
      <c r="B29" s="8"/>
      <c r="C29" s="8"/>
      <c r="D29" s="8"/>
      <c r="E29" s="8"/>
      <c r="F29" s="1">
        <f>VLOOKUP(C8,'3rd Term'!B9:AN48,22,FALSE)</f>
        <v>17</v>
      </c>
      <c r="G29" s="31">
        <f>VLOOKUP(C8,'3rd Term'!B9:AN48,23,FALSE)</f>
        <v>19</v>
      </c>
      <c r="H29" s="31">
        <f t="shared" si="1"/>
        <v>36</v>
      </c>
      <c r="I29" s="31">
        <f>(VLOOKUP(C8,'2nd Term'!B9:AN48,22,FALSE))+(VLOOKUP(C8,'2nd Term'!B9:AN48,23,FALSE))</f>
        <v>88</v>
      </c>
      <c r="J29" s="31">
        <f>(VLOOKUP($C$8,'1st Term'!$B$9:$AN$48,22,FALSE))+(VLOOKUP($C$8,'1st Term'!$B$9:$AN$48,23,FALSE))</f>
        <v>76</v>
      </c>
      <c r="K29" s="31">
        <f t="shared" si="2"/>
        <v>200</v>
      </c>
      <c r="L29" s="26">
        <f t="shared" si="0"/>
        <v>66.666666666666671</v>
      </c>
      <c r="M29" s="31" t="str">
        <f t="shared" si="3"/>
        <v>C</v>
      </c>
    </row>
    <row r="30" spans="1:13" x14ac:dyDescent="0.25">
      <c r="A30" s="20" t="s">
        <v>15</v>
      </c>
      <c r="B30" s="8"/>
      <c r="C30" s="8"/>
      <c r="D30" s="8"/>
      <c r="E30" s="8"/>
      <c r="F30" s="1">
        <f>VLOOKUP(C8,'3rd Term'!B9:AN48,24,FALSE)</f>
        <v>18</v>
      </c>
      <c r="G30" s="31">
        <f>VLOOKUP(C8,'3rd Term'!B9:AN48,25,FALSE)</f>
        <v>13</v>
      </c>
      <c r="H30" s="31">
        <f t="shared" si="1"/>
        <v>31</v>
      </c>
      <c r="I30" s="31">
        <f>(VLOOKUP(C8,'2nd Term'!B9:AN48,24,FALSE))+(VLOOKUP(C8,'2nd Term'!B9:AN48,25,FALSE))</f>
        <v>65</v>
      </c>
      <c r="J30" s="31">
        <f>(VLOOKUP($C$8,'1st Term'!$B$9:$AN$48,24,FALSE))+(VLOOKUP($C$8,'1st Term'!$B$9:$AN$48,25,FALSE))</f>
        <v>65</v>
      </c>
      <c r="K30" s="31">
        <f t="shared" si="2"/>
        <v>161</v>
      </c>
      <c r="L30" s="26">
        <f t="shared" si="0"/>
        <v>53.666666666666664</v>
      </c>
      <c r="M30" s="31" t="str">
        <f t="shared" si="3"/>
        <v>C</v>
      </c>
    </row>
    <row r="31" spans="1:13" hidden="1" x14ac:dyDescent="0.25">
      <c r="A31" s="20" t="s">
        <v>22</v>
      </c>
      <c r="B31" s="8"/>
      <c r="C31" s="8"/>
      <c r="D31" s="8"/>
      <c r="E31" s="8"/>
      <c r="F31" s="1">
        <f>VLOOKUP(C8,'3rd Term'!B9:AN48,26,FALSE)</f>
        <v>0</v>
      </c>
      <c r="G31" s="31">
        <f>VLOOKUP(C8,'3rd Term'!B9:AN48,27,FALSE)</f>
        <v>0</v>
      </c>
      <c r="H31" s="31">
        <f t="shared" si="1"/>
        <v>0</v>
      </c>
      <c r="I31" s="31">
        <f>(VLOOKUP(C8,'2nd Term'!B9:AN48,26,FALSE))+(VLOOKUP(C8,'2nd Term'!B9:AN48,27,FALSE))</f>
        <v>0</v>
      </c>
      <c r="J31" s="31">
        <f>(VLOOKUP($C$8,'1st Term'!$B$9:$AN$48,26,FALSE))+(VLOOKUP($C$8,'1st Term'!$B$9:$AN$48,27,FALSE))</f>
        <v>0</v>
      </c>
      <c r="K31" s="31" t="str">
        <f t="shared" si="2"/>
        <v>-</v>
      </c>
      <c r="L31" s="26" t="str">
        <f t="shared" si="0"/>
        <v>-</v>
      </c>
      <c r="M31" s="31" t="str">
        <f t="shared" si="3"/>
        <v>-</v>
      </c>
    </row>
    <row r="32" spans="1:13" x14ac:dyDescent="0.25">
      <c r="A32" s="20" t="s">
        <v>16</v>
      </c>
      <c r="B32" s="8"/>
      <c r="C32" s="8"/>
      <c r="D32" s="8"/>
      <c r="E32" s="8"/>
      <c r="F32" s="1">
        <f>VLOOKUP(C8,'3rd Term'!B9:AN48,28,FALSE)</f>
        <v>17</v>
      </c>
      <c r="G32" s="31">
        <f>VLOOKUP(C8,'3rd Term'!B9:AN48,29,FALSE)</f>
        <v>5</v>
      </c>
      <c r="H32" s="31">
        <f t="shared" si="1"/>
        <v>22</v>
      </c>
      <c r="I32" s="31">
        <f>(VLOOKUP(C8,'2nd Term'!B9:AN48,28,FALSE))+(VLOOKUP(C8,'2nd Term'!B9:AN48,29,FALSE))</f>
        <v>77</v>
      </c>
      <c r="J32" s="31">
        <f>(VLOOKUP($C$8,'1st Term'!$B$9:$AN$48,28,FALSE))+(VLOOKUP($C$8,'1st Term'!$B$9:$AN$48,29,FALSE))</f>
        <v>72</v>
      </c>
      <c r="K32" s="31">
        <f t="shared" si="2"/>
        <v>171</v>
      </c>
      <c r="L32" s="26">
        <f t="shared" si="0"/>
        <v>57</v>
      </c>
      <c r="M32" s="31" t="str">
        <f t="shared" si="3"/>
        <v>C</v>
      </c>
    </row>
    <row r="33" spans="1:13" x14ac:dyDescent="0.25">
      <c r="A33" s="20" t="s">
        <v>17</v>
      </c>
      <c r="B33" s="8"/>
      <c r="C33" s="8"/>
      <c r="D33" s="8"/>
      <c r="E33" s="8"/>
      <c r="F33" s="1">
        <f>VLOOKUP(C8,'3rd Term'!B9:AN48,30,FALSE)</f>
        <v>30</v>
      </c>
      <c r="G33" s="31">
        <f>VLOOKUP(C8,'3rd Term'!B9:AN48,31,FALSE)</f>
        <v>16</v>
      </c>
      <c r="H33" s="31">
        <f t="shared" si="1"/>
        <v>46</v>
      </c>
      <c r="I33" s="31">
        <f>(VLOOKUP(C8,'2nd Term'!B9:AN48,30,FALSE))+(VLOOKUP(C8,'2nd Term'!B9:AN48,31,FALSE))</f>
        <v>46</v>
      </c>
      <c r="J33" s="31">
        <f>(VLOOKUP($C$8,'1st Term'!$B$9:$AN$48,30,FALSE))+(VLOOKUP($C$8,'1st Term'!$B$9:$AN$48,31,FALSE))</f>
        <v>63</v>
      </c>
      <c r="K33" s="31">
        <f t="shared" si="2"/>
        <v>155</v>
      </c>
      <c r="L33" s="26">
        <f t="shared" si="0"/>
        <v>51.666666666666664</v>
      </c>
      <c r="M33" s="31" t="str">
        <f t="shared" si="3"/>
        <v>C</v>
      </c>
    </row>
    <row r="34" spans="1:13" x14ac:dyDescent="0.25">
      <c r="A34" s="20" t="s">
        <v>18</v>
      </c>
      <c r="B34" s="8"/>
      <c r="C34" s="8"/>
      <c r="D34" s="8"/>
      <c r="E34" s="8"/>
      <c r="F34" s="1">
        <f>VLOOKUP(C8,'3rd Term'!B9:AN48,32,FALSE)</f>
        <v>21</v>
      </c>
      <c r="G34" s="31">
        <f>VLOOKUP(C8,'3rd Term'!B9:AN48,33,FALSE)</f>
        <v>20</v>
      </c>
      <c r="H34" s="31">
        <f t="shared" si="1"/>
        <v>41</v>
      </c>
      <c r="I34" s="31">
        <f>(VLOOKUP(C8,'2nd Term'!B9:AN48,32,FALSE))+(VLOOKUP(C8,'2nd Term'!B9:AN48,33,FALSE))</f>
        <v>77</v>
      </c>
      <c r="J34" s="31">
        <f>(VLOOKUP($C$8,'1st Term'!$B$9:$AN$48,32,FALSE))+(VLOOKUP($C$8,'1st Term'!$B$9:$AN$48,33,FALSE))</f>
        <v>72</v>
      </c>
      <c r="K34" s="31">
        <f t="shared" si="2"/>
        <v>190</v>
      </c>
      <c r="L34" s="26">
        <f t="shared" si="0"/>
        <v>63.333333333333336</v>
      </c>
      <c r="M34" s="31" t="str">
        <f t="shared" si="3"/>
        <v>C</v>
      </c>
    </row>
    <row r="35" spans="1:13" x14ac:dyDescent="0.25">
      <c r="A35" s="20" t="s">
        <v>19</v>
      </c>
      <c r="B35" s="8"/>
      <c r="C35" s="8"/>
      <c r="D35" s="8"/>
      <c r="E35" s="8"/>
      <c r="F35" s="1">
        <f>VLOOKUP(C8,'3rd Term'!B9:AN48,34,FALSE)</f>
        <v>16</v>
      </c>
      <c r="G35" s="31">
        <f>VLOOKUP(C8,'3rd Term'!B9:AN48,35,FALSE)</f>
        <v>15</v>
      </c>
      <c r="H35" s="31">
        <f t="shared" si="1"/>
        <v>31</v>
      </c>
      <c r="I35" s="31">
        <f>(VLOOKUP(C8,'2nd Term'!B9:AN48,34,FALSE))+(VLOOKUP(C8,'2nd Term'!B9:AN48,35,FALSE))</f>
        <v>70</v>
      </c>
      <c r="J35" s="31">
        <f>(VLOOKUP($C$8,'1st Term'!$B$9:$AN$48,34,FALSE))+(VLOOKUP($C$8,'1st Term'!$B$9:$AN$48,35,FALSE))</f>
        <v>38</v>
      </c>
      <c r="K35" s="31">
        <f t="shared" si="2"/>
        <v>139</v>
      </c>
      <c r="L35" s="26">
        <f t="shared" si="0"/>
        <v>46.333333333333336</v>
      </c>
      <c r="M35" s="31" t="str">
        <f t="shared" si="3"/>
        <v>P</v>
      </c>
    </row>
    <row r="36" spans="1:13" x14ac:dyDescent="0.25">
      <c r="A36" s="20" t="s">
        <v>20</v>
      </c>
      <c r="B36" s="8"/>
      <c r="C36" s="8"/>
      <c r="D36" s="8"/>
      <c r="E36" s="8"/>
      <c r="F36" s="1">
        <f>VLOOKUP(C8,'3rd Term'!B9:AN48,36,FALSE)</f>
        <v>11</v>
      </c>
      <c r="G36" s="31">
        <f>VLOOKUP(C8,'3rd Term'!B9:AN48,37,FALSE)</f>
        <v>23</v>
      </c>
      <c r="H36" s="31">
        <f t="shared" si="1"/>
        <v>34</v>
      </c>
      <c r="I36" s="31">
        <f>(VLOOKUP(C8,'2nd Term'!B9:AN48,36,FALSE))+(VLOOKUP(C8,'2nd Term'!B9:AN48,37,FALSE))</f>
        <v>85</v>
      </c>
      <c r="J36" s="31">
        <f>(VLOOKUP($C$8,'1st Term'!$B$9:$AN$48,36,FALSE))+(VLOOKUP($C$8,'1st Term'!$B$9:$AN$48,37,FALSE))</f>
        <v>72</v>
      </c>
      <c r="K36" s="31">
        <f t="shared" si="2"/>
        <v>191</v>
      </c>
      <c r="L36" s="26">
        <f t="shared" si="0"/>
        <v>63.666666666666664</v>
      </c>
      <c r="M36" s="31" t="str">
        <f t="shared" si="3"/>
        <v>C</v>
      </c>
    </row>
    <row r="37" spans="1:13" x14ac:dyDescent="0.25">
      <c r="A37" s="18" t="s">
        <v>21</v>
      </c>
      <c r="B37" s="7"/>
      <c r="C37" s="7"/>
      <c r="D37" s="7"/>
      <c r="E37" s="7"/>
      <c r="F37" s="57">
        <f>VLOOKUP(C8,'3rd Term'!B9:AN48,38,FALSE)</f>
        <v>12</v>
      </c>
      <c r="G37" s="31">
        <f>VLOOKUP(C8,'3rd Term'!B9:AN48,39,FALSE)</f>
        <v>20</v>
      </c>
      <c r="H37" s="31">
        <f t="shared" si="1"/>
        <v>32</v>
      </c>
      <c r="I37" s="31">
        <f>(VLOOKUP(C8,'2nd Term'!B9:AN48,38,FALSE))+(VLOOKUP(C8,'2nd Term'!B9:AN48,39,FALSE))</f>
        <v>75</v>
      </c>
      <c r="J37" s="31">
        <f>(VLOOKUP($C$8,'1st Term'!$B$9:$AN$48,38,FALSE))+(VLOOKUP($C$8,'1st Term'!$B$9:$AN$48,39,FALSE))</f>
        <v>65</v>
      </c>
      <c r="K37" s="31">
        <f t="shared" si="2"/>
        <v>172</v>
      </c>
      <c r="L37" s="26">
        <f t="shared" si="0"/>
        <v>57.333333333333336</v>
      </c>
      <c r="M37" s="31" t="str">
        <f t="shared" si="3"/>
        <v>C</v>
      </c>
    </row>
    <row r="43" spans="1:13" x14ac:dyDescent="0.25">
      <c r="G43" s="110" t="s">
        <v>62</v>
      </c>
      <c r="H43" s="110"/>
      <c r="I43" s="110"/>
      <c r="J43" s="110"/>
      <c r="K43" s="110"/>
      <c r="L43" s="110"/>
      <c r="M43" s="110"/>
    </row>
    <row r="44" spans="1:13" x14ac:dyDescent="0.25">
      <c r="A44" s="77" t="s">
        <v>58</v>
      </c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</row>
    <row r="45" spans="1:13" ht="12.75" customHeight="1" x14ac:dyDescent="0.25">
      <c r="A45" s="50" t="str">
        <f>VLOOKUP(C8,comments!B8:X47,7,0)</f>
        <v>She is improving gradually but needs to participate more in class discussions.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</row>
    <row r="46" spans="1:13" x14ac:dyDescent="0.25">
      <c r="A46" s="50"/>
      <c r="B46" s="50"/>
      <c r="C46" s="50"/>
      <c r="D46" s="50"/>
      <c r="E46" s="50"/>
      <c r="F46" s="78"/>
      <c r="G46" s="78"/>
      <c r="H46" s="78"/>
      <c r="I46" s="78"/>
      <c r="J46" s="78"/>
      <c r="K46" s="78"/>
      <c r="L46" s="78"/>
      <c r="M46" s="78"/>
    </row>
    <row r="47" spans="1:13" x14ac:dyDescent="0.25">
      <c r="A47" s="79" t="s">
        <v>60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</row>
    <row r="48" spans="1:13" ht="12" customHeight="1" x14ac:dyDescent="0.25">
      <c r="A48" s="50" t="str">
        <f>VLOOKUP(C8,comments!B8:X47,14,0)</f>
        <v>Just fair. You can improve if only you will be more regular at school next term. Promoted to the Next Class.</v>
      </c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</row>
    <row r="49" spans="1:13" x14ac:dyDescent="0.25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</row>
    <row r="50" spans="1:13" x14ac:dyDescent="0.25">
      <c r="A50" s="79" t="s">
        <v>59</v>
      </c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</row>
    <row r="51" spans="1:13" ht="12" customHeight="1" x14ac:dyDescent="0.25">
      <c r="A51" s="78" t="s">
        <v>61</v>
      </c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</row>
  </sheetData>
  <sheetProtection algorithmName="SHA-512" hashValue="H1MiL8ETizKpqjq0v5qutMR04c8ArvdvhuI5XJeZHQusUuPTHNzKK793Wz/uaRA47/TORQLUS34jfdA2klQUlw==" saltValue="uX27Goib/HrRcr42qZq+ew==" spinCount="100000" sheet="1" scenarios="1"/>
  <mergeCells count="13">
    <mergeCell ref="I14:I17"/>
    <mergeCell ref="A18:B18"/>
    <mergeCell ref="G43:M43"/>
    <mergeCell ref="B1:M2"/>
    <mergeCell ref="B3:M3"/>
    <mergeCell ref="B4:M4"/>
    <mergeCell ref="B5:M6"/>
    <mergeCell ref="K7:M12"/>
    <mergeCell ref="A8:B8"/>
    <mergeCell ref="A9:B9"/>
    <mergeCell ref="A10:B10"/>
    <mergeCell ref="A11:B11"/>
    <mergeCell ref="A12:B12"/>
  </mergeCells>
  <conditionalFormatting sqref="M19:M37">
    <cfRule type="cellIs" dxfId="24" priority="3" operator="equal">
      <formula>"F"</formula>
    </cfRule>
    <cfRule type="cellIs" dxfId="23" priority="4" operator="equal">
      <formula>"P"</formula>
    </cfRule>
    <cfRule type="cellIs" dxfId="22" priority="5" operator="equal">
      <formula>"C"</formula>
    </cfRule>
    <cfRule type="cellIs" dxfId="21" priority="6" operator="equal">
      <formula>"A"</formula>
    </cfRule>
  </conditionalFormatting>
  <conditionalFormatting sqref="F19:J37">
    <cfRule type="cellIs" dxfId="20" priority="1" operator="equal">
      <formula>0</formula>
    </cfRule>
    <cfRule type="colorScale" priority="2">
      <colorScale>
        <cfvo type="min"/>
        <cfvo type="num" val="0"/>
        <color rgb="FFFF7128"/>
        <color theme="0"/>
      </colorScale>
    </cfRule>
  </conditionalFormatting>
  <dataValidations count="1">
    <dataValidation type="list" allowBlank="1" showInputMessage="1" showErrorMessage="1" sqref="M14:M17" xr:uid="{3557B457-B7A7-4E3E-8965-5D1F97EA2AF8}">
      <formula1>"A,B,C,D,E"</formula1>
    </dataValidation>
  </dataValidations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AC249-53D6-4F4B-97BE-C8EDC97EC87D}">
  <sheetPr>
    <tabColor rgb="FF7030A0"/>
  </sheetPr>
  <dimension ref="A1:M51"/>
  <sheetViews>
    <sheetView topLeftCell="A32" workbookViewId="0">
      <selection activeCell="N14" sqref="N14"/>
    </sheetView>
  </sheetViews>
  <sheetFormatPr defaultRowHeight="15" x14ac:dyDescent="0.25"/>
  <cols>
    <col min="3" max="3" width="8.140625" customWidth="1"/>
    <col min="4" max="4" width="9.42578125" customWidth="1"/>
    <col min="5" max="5" width="10.5703125" customWidth="1"/>
    <col min="6" max="6" width="6.28515625" customWidth="1"/>
    <col min="7" max="8" width="5.85546875" customWidth="1"/>
    <col min="9" max="9" width="5.5703125" customWidth="1"/>
    <col min="10" max="11" width="5.28515625" customWidth="1"/>
    <col min="12" max="12" width="6.28515625" customWidth="1"/>
    <col min="13" max="13" width="5.7109375" customWidth="1"/>
  </cols>
  <sheetData>
    <row r="1" spans="1:13" ht="15" customHeight="1" x14ac:dyDescent="0.25">
      <c r="A1" s="10"/>
      <c r="B1" s="116" t="s">
        <v>185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</row>
    <row r="2" spans="1:13" ht="15" customHeight="1" x14ac:dyDescent="0.25">
      <c r="A2" s="10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</row>
    <row r="3" spans="1:13" ht="15.75" x14ac:dyDescent="0.25">
      <c r="A3" s="10"/>
      <c r="B3" s="117" t="s">
        <v>184</v>
      </c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</row>
    <row r="4" spans="1:13" ht="15.75" x14ac:dyDescent="0.25">
      <c r="A4" s="10"/>
      <c r="B4" s="118" t="s">
        <v>186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</row>
    <row r="5" spans="1:13" ht="15" customHeight="1" x14ac:dyDescent="0.25">
      <c r="A5" s="10"/>
      <c r="B5" s="119" t="s">
        <v>36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</row>
    <row r="6" spans="1:13" ht="15" customHeight="1" x14ac:dyDescent="0.25">
      <c r="A6" s="10"/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</row>
    <row r="7" spans="1:13" ht="15" customHeight="1" x14ac:dyDescent="0.25">
      <c r="I7" s="10"/>
      <c r="J7" s="10"/>
      <c r="K7" s="122" t="s">
        <v>105</v>
      </c>
      <c r="L7" s="122"/>
      <c r="M7" s="122"/>
    </row>
    <row r="8" spans="1:13" x14ac:dyDescent="0.25">
      <c r="A8" s="120" t="s">
        <v>37</v>
      </c>
      <c r="B8" s="120"/>
      <c r="C8" s="29" t="str">
        <f>('1st Term'!B27)</f>
        <v>ORIAKU BRIGHT</v>
      </c>
      <c r="D8" s="8"/>
      <c r="E8" s="8"/>
      <c r="F8" s="8"/>
      <c r="G8" s="8"/>
      <c r="H8" s="9"/>
      <c r="I8" s="10"/>
      <c r="J8" s="10"/>
      <c r="K8" s="122"/>
      <c r="L8" s="122"/>
      <c r="M8" s="122"/>
    </row>
    <row r="9" spans="1:13" x14ac:dyDescent="0.25">
      <c r="A9" s="121" t="s">
        <v>38</v>
      </c>
      <c r="B9" s="115"/>
      <c r="C9" s="29" t="str">
        <f>('1st Term'!B7)</f>
        <v>JSS 1A</v>
      </c>
      <c r="D9" s="8"/>
      <c r="E9" s="8"/>
      <c r="F9" s="8"/>
      <c r="G9" s="8"/>
      <c r="H9" s="9"/>
      <c r="I9" s="10"/>
      <c r="J9" s="10"/>
      <c r="K9" s="122"/>
      <c r="L9" s="122"/>
      <c r="M9" s="122"/>
    </row>
    <row r="10" spans="1:13" x14ac:dyDescent="0.25">
      <c r="A10" s="121" t="s">
        <v>39</v>
      </c>
      <c r="B10" s="115"/>
      <c r="C10" s="29" t="str">
        <f>(comments!C4)</f>
        <v>2025/2026</v>
      </c>
      <c r="D10" s="8"/>
      <c r="E10" s="8"/>
      <c r="F10" s="43"/>
      <c r="G10" s="43"/>
      <c r="H10" s="9"/>
      <c r="I10" s="10"/>
      <c r="J10" s="10"/>
      <c r="K10" s="122"/>
      <c r="L10" s="122"/>
      <c r="M10" s="122"/>
    </row>
    <row r="11" spans="1:13" x14ac:dyDescent="0.25">
      <c r="A11" s="121" t="s">
        <v>40</v>
      </c>
      <c r="B11" s="115"/>
      <c r="C11" s="30" t="str">
        <f>(comments!B5)</f>
        <v>THIRD TERM</v>
      </c>
      <c r="D11" s="7"/>
      <c r="E11" s="7"/>
      <c r="F11" s="13" t="s">
        <v>167</v>
      </c>
      <c r="G11" s="8"/>
      <c r="H11" s="53">
        <f>INDEX(comments!D8:D47,MATCH(sheet19!C8,comments!B8:B47,0))</f>
        <v>51.03921568627451</v>
      </c>
      <c r="I11" s="10"/>
      <c r="J11" s="10"/>
      <c r="K11" s="122"/>
      <c r="L11" s="122"/>
      <c r="M11" s="122"/>
    </row>
    <row r="12" spans="1:13" x14ac:dyDescent="0.25">
      <c r="A12" s="114" t="s">
        <v>41</v>
      </c>
      <c r="B12" s="115"/>
      <c r="C12" s="30" t="str">
        <f>(comments!E6)</f>
        <v>20TH APRIL 2026</v>
      </c>
      <c r="D12" s="7"/>
      <c r="E12" s="7"/>
      <c r="F12" s="13" t="s">
        <v>44</v>
      </c>
      <c r="G12" s="8"/>
      <c r="H12" s="51" t="str">
        <f>INDEX(comments!E8:E47,MATCH(sheet19!C8,comments!B8:B47,0))</f>
        <v>13th</v>
      </c>
      <c r="I12" s="10"/>
      <c r="J12" s="10"/>
      <c r="K12" s="123"/>
      <c r="L12" s="123"/>
      <c r="M12" s="123"/>
    </row>
    <row r="13" spans="1:13" x14ac:dyDescent="0.25">
      <c r="A13" s="48"/>
      <c r="B13" s="49"/>
      <c r="C13" s="50"/>
      <c r="F13" s="25"/>
      <c r="H13" s="52"/>
      <c r="I13" s="10"/>
      <c r="J13" s="10"/>
      <c r="K13" s="54"/>
      <c r="L13" s="54"/>
      <c r="M13" s="54"/>
    </row>
    <row r="14" spans="1:13" ht="16.5" customHeight="1" x14ac:dyDescent="0.25">
      <c r="A14" s="16" t="s">
        <v>48</v>
      </c>
      <c r="B14" s="8"/>
      <c r="C14" s="8"/>
      <c r="D14" s="13" t="s">
        <v>49</v>
      </c>
      <c r="E14" s="8"/>
      <c r="F14" s="8"/>
      <c r="G14" s="8"/>
      <c r="H14" s="15"/>
      <c r="I14" s="113" t="s">
        <v>50</v>
      </c>
      <c r="J14" s="45" t="s">
        <v>32</v>
      </c>
      <c r="K14" s="44"/>
      <c r="L14" s="17"/>
      <c r="M14" s="44" t="s">
        <v>52</v>
      </c>
    </row>
    <row r="15" spans="1:13" ht="21" customHeight="1" x14ac:dyDescent="0.25">
      <c r="A15" s="11" t="s">
        <v>46</v>
      </c>
      <c r="B15" s="7"/>
      <c r="C15" s="7"/>
      <c r="D15" s="55">
        <f>(comments!C6)</f>
        <v>110</v>
      </c>
      <c r="E15" s="8"/>
      <c r="F15" s="8"/>
      <c r="G15" s="8"/>
      <c r="H15" s="14"/>
      <c r="I15" s="113"/>
      <c r="J15" s="45" t="s">
        <v>33</v>
      </c>
      <c r="K15" s="44"/>
      <c r="L15" s="17"/>
      <c r="M15" s="44" t="s">
        <v>51</v>
      </c>
    </row>
    <row r="16" spans="1:13" ht="18.75" customHeight="1" x14ac:dyDescent="0.25">
      <c r="A16" s="12" t="s">
        <v>47</v>
      </c>
      <c r="B16" s="8"/>
      <c r="C16" s="8"/>
      <c r="D16" s="56">
        <f>VLOOKUP(C8,comments!B8:C47,2,FALSE)</f>
        <v>0</v>
      </c>
      <c r="E16" s="8"/>
      <c r="F16" s="8"/>
      <c r="G16" s="8"/>
      <c r="H16" s="14"/>
      <c r="I16" s="113"/>
      <c r="J16" s="45" t="s">
        <v>34</v>
      </c>
      <c r="K16" s="44"/>
      <c r="L16" s="17"/>
      <c r="M16" s="44" t="s">
        <v>51</v>
      </c>
    </row>
    <row r="17" spans="1:13" ht="17.25" customHeight="1" x14ac:dyDescent="0.25">
      <c r="A17" s="11" t="s">
        <v>45</v>
      </c>
      <c r="B17" s="7"/>
      <c r="C17" s="7"/>
      <c r="D17" s="56">
        <f>(comments!D6)</f>
        <v>22</v>
      </c>
      <c r="E17" s="8"/>
      <c r="F17" s="8"/>
      <c r="G17" s="8"/>
      <c r="H17" s="14"/>
      <c r="I17" s="113"/>
      <c r="J17" s="47" t="s">
        <v>35</v>
      </c>
      <c r="K17" s="46"/>
      <c r="L17" s="40"/>
      <c r="M17" s="44" t="s">
        <v>52</v>
      </c>
    </row>
    <row r="18" spans="1:13" ht="61.5" customHeight="1" x14ac:dyDescent="0.25">
      <c r="A18" s="111" t="s">
        <v>53</v>
      </c>
      <c r="B18" s="112"/>
      <c r="C18" s="19"/>
      <c r="D18" s="19"/>
      <c r="E18" s="19"/>
      <c r="F18" s="41" t="s">
        <v>172</v>
      </c>
      <c r="G18" s="41" t="s">
        <v>171</v>
      </c>
      <c r="H18" s="41" t="s">
        <v>173</v>
      </c>
      <c r="I18" s="42" t="s">
        <v>174</v>
      </c>
      <c r="J18" s="42" t="s">
        <v>175</v>
      </c>
      <c r="K18" s="41" t="s">
        <v>165</v>
      </c>
      <c r="L18" s="41" t="s">
        <v>166</v>
      </c>
      <c r="M18" s="41" t="s">
        <v>54</v>
      </c>
    </row>
    <row r="19" spans="1:13" ht="15" customHeight="1" x14ac:dyDescent="0.25">
      <c r="A19" s="20" t="s">
        <v>6</v>
      </c>
      <c r="B19" s="8"/>
      <c r="C19" s="8"/>
      <c r="D19" s="8"/>
      <c r="E19" s="8"/>
      <c r="F19" s="31">
        <f>VLOOKUP(C8,'3rd Term'!B9:AN48,2,FALSE)</f>
        <v>21</v>
      </c>
      <c r="G19" s="31">
        <f>VLOOKUP(C8,'3rd Term'!B9:AN48,3,FALSE)</f>
        <v>43</v>
      </c>
      <c r="H19" s="31">
        <f>SUM(F19:G19)</f>
        <v>64</v>
      </c>
      <c r="I19" s="5">
        <f>(VLOOKUP(C8,'2nd Term'!B9:AN48,2,FALSE))+(VLOOKUP(C8,'2nd Term'!B9:AN48,3,FALSE))</f>
        <v>54</v>
      </c>
      <c r="J19" s="31">
        <f>(VLOOKUP($C$8,'1st Term'!$B$9:$AN$48,2,FALSE))+(VLOOKUP($C$8,'1st Term'!$B$9:$AN$48,3,FALSE))</f>
        <v>54</v>
      </c>
      <c r="K19" s="31">
        <f>IF(SUM(H19:J19)=0,"-",SUM(H19:J19))</f>
        <v>172</v>
      </c>
      <c r="L19" s="26">
        <f t="shared" ref="L19:L37" si="0">IFERROR(((H19)+(I19)+(J19))/((--(H19&gt;0))+(--(I19&gt;0))+(--(J19&gt;0))),"-")</f>
        <v>57.333333333333336</v>
      </c>
      <c r="M19" s="31" t="str">
        <f>IF(L19="-","-",IF(L19&gt;=70,"A",IF(L19&gt;=50,"C",IF(L19&gt;=40,"P","F"))))</f>
        <v>C</v>
      </c>
    </row>
    <row r="20" spans="1:13" ht="15" customHeight="1" x14ac:dyDescent="0.25">
      <c r="A20" s="20" t="s">
        <v>3</v>
      </c>
      <c r="B20" s="8"/>
      <c r="C20" s="8"/>
      <c r="D20" s="8"/>
      <c r="E20" s="8"/>
      <c r="F20" s="1">
        <f>VLOOKUP(C8,'3rd Term'!B9:AN48,4,FALSE)</f>
        <v>19</v>
      </c>
      <c r="G20" s="31">
        <f>VLOOKUP(C8,'3rd Term'!B9:AN48,5,FALSE)</f>
        <v>15</v>
      </c>
      <c r="H20" s="31">
        <f t="shared" ref="H20:H37" si="1">SUM(F20:G20)</f>
        <v>34</v>
      </c>
      <c r="I20" s="31">
        <f>(VLOOKUP(C8,'2nd Term'!B9:AN48,4,FALSE))+(VLOOKUP(C8,'2nd Term'!B9:AN48,5,FALSE))</f>
        <v>53</v>
      </c>
      <c r="J20" s="31">
        <f>(VLOOKUP($C$8,'1st Term'!$B$9:$AN$48,4,FALSE))+(VLOOKUP($C$8,'1st Term'!$B$9:$AN$48,5,FALSE))</f>
        <v>58</v>
      </c>
      <c r="K20" s="31">
        <f t="shared" ref="K20:K37" si="2">IF(SUM(H20:J20)=0,"-",SUM(H20:J20))</f>
        <v>145</v>
      </c>
      <c r="L20" s="26">
        <f t="shared" si="0"/>
        <v>48.333333333333336</v>
      </c>
      <c r="M20" s="31" t="str">
        <f t="shared" ref="M20:M37" si="3">IF(L20="-","-",IF(L20&gt;=70,"A",IF(L20&gt;=50,"C",IF(L20&gt;=40,"P","F"))))</f>
        <v>P</v>
      </c>
    </row>
    <row r="21" spans="1:13" ht="15" customHeight="1" x14ac:dyDescent="0.25">
      <c r="A21" s="20" t="s">
        <v>4</v>
      </c>
      <c r="B21" s="8"/>
      <c r="C21" s="8"/>
      <c r="D21" s="8"/>
      <c r="E21" s="8"/>
      <c r="F21" s="1">
        <f>VLOOKUP(C8,'3rd Term'!B9:AN48,6,FALSE)</f>
        <v>17</v>
      </c>
      <c r="G21" s="31">
        <f>VLOOKUP(C8,'3rd Term'!B9:AN48,7,FALSE)</f>
        <v>24</v>
      </c>
      <c r="H21" s="31">
        <f t="shared" si="1"/>
        <v>41</v>
      </c>
      <c r="I21" s="31">
        <f>(VLOOKUP(C8,'2nd Term'!B9:AN48,6,FALSE))+(VLOOKUP(C8,'2nd Term'!B9:AN48,7,FALSE))</f>
        <v>99</v>
      </c>
      <c r="J21" s="31">
        <f>(VLOOKUP($C$8,'1st Term'!$B$9:$AN$48,6,FALSE))+(VLOOKUP($C$8,'1st Term'!$B$9:$AN$48,7,FALSE))</f>
        <v>47</v>
      </c>
      <c r="K21" s="31">
        <f t="shared" si="2"/>
        <v>187</v>
      </c>
      <c r="L21" s="26">
        <f t="shared" si="0"/>
        <v>62.333333333333336</v>
      </c>
      <c r="M21" s="31" t="str">
        <f t="shared" si="3"/>
        <v>C</v>
      </c>
    </row>
    <row r="22" spans="1:13" ht="15" customHeight="1" x14ac:dyDescent="0.25">
      <c r="A22" s="20" t="s">
        <v>5</v>
      </c>
      <c r="B22" s="8"/>
      <c r="C22" s="8"/>
      <c r="D22" s="8"/>
      <c r="E22" s="8"/>
      <c r="F22" s="1">
        <f>VLOOKUP(C8,'3rd Term'!B9:AN48,8,FALSE)</f>
        <v>20</v>
      </c>
      <c r="G22" s="31">
        <f>VLOOKUP(C8,'3rd Term'!B9:AN48,9,FALSE)</f>
        <v>24</v>
      </c>
      <c r="H22" s="31">
        <f t="shared" si="1"/>
        <v>44</v>
      </c>
      <c r="I22" s="31">
        <f>(VLOOKUP(C8,'2nd Term'!B9:AN48,8,FALSE))+(VLOOKUP(C8,'2nd Term'!B9:AN48,9,FALSE))</f>
        <v>37</v>
      </c>
      <c r="J22" s="31">
        <f>(VLOOKUP($C$8,'1st Term'!$B$9:$AN$48,8,FALSE))+(VLOOKUP($C$8,'1st Term'!$B$9:$AN$48,9,FALSE))</f>
        <v>51</v>
      </c>
      <c r="K22" s="31">
        <f t="shared" si="2"/>
        <v>132</v>
      </c>
      <c r="L22" s="26">
        <f t="shared" si="0"/>
        <v>44</v>
      </c>
      <c r="M22" s="31" t="str">
        <f t="shared" si="3"/>
        <v>P</v>
      </c>
    </row>
    <row r="23" spans="1:13" ht="15" customHeight="1" x14ac:dyDescent="0.25">
      <c r="A23" s="20" t="s">
        <v>7</v>
      </c>
      <c r="B23" s="8"/>
      <c r="C23" s="8"/>
      <c r="D23" s="8"/>
      <c r="E23" s="8"/>
      <c r="F23" s="1">
        <f>VLOOKUP(C8,'3rd Term'!B9:AN48,10,FALSE)</f>
        <v>15</v>
      </c>
      <c r="G23" s="31">
        <f>VLOOKUP(C8,'3rd Term'!B9:AN48,11,FALSE)</f>
        <v>30</v>
      </c>
      <c r="H23" s="31">
        <f t="shared" si="1"/>
        <v>45</v>
      </c>
      <c r="I23" s="31">
        <f>(VLOOKUP(C8,'2nd Term'!B9:AN48,10,FALSE))+(VLOOKUP(C8,'2nd Term'!B9:AN48,11,FALSE))</f>
        <v>47</v>
      </c>
      <c r="J23" s="31">
        <f>(VLOOKUP($C$8,'1st Term'!$B$9:$AN$48,10,FALSE))+(VLOOKUP($C$8,'1st Term'!$B$9:$AN$48,11,FALSE))</f>
        <v>50</v>
      </c>
      <c r="K23" s="31">
        <f t="shared" si="2"/>
        <v>142</v>
      </c>
      <c r="L23" s="26">
        <f t="shared" si="0"/>
        <v>47.333333333333336</v>
      </c>
      <c r="M23" s="31" t="str">
        <f t="shared" si="3"/>
        <v>P</v>
      </c>
    </row>
    <row r="24" spans="1:13" ht="15" customHeight="1" x14ac:dyDescent="0.25">
      <c r="A24" s="20" t="s">
        <v>8</v>
      </c>
      <c r="B24" s="8"/>
      <c r="C24" s="8"/>
      <c r="D24" s="8"/>
      <c r="E24" s="8"/>
      <c r="F24" s="1">
        <f>VLOOKUP(C8,'3rd Term'!B9:AN48,12,FALSE)</f>
        <v>17</v>
      </c>
      <c r="G24" s="31">
        <f>VLOOKUP(C8,'3rd Term'!B9:AN48,13,FALSE)</f>
        <v>34</v>
      </c>
      <c r="H24" s="31">
        <f t="shared" si="1"/>
        <v>51</v>
      </c>
      <c r="I24" s="31">
        <f>(VLOOKUP(C8,'2nd Term'!B9:AN48,12,FALSE))+(VLOOKUP(C8,'2nd Term'!B9:AN48,13,FALSE))</f>
        <v>42</v>
      </c>
      <c r="J24" s="31">
        <f>(VLOOKUP($C$8,'1st Term'!$B$9:$AN$48,12,FALSE))+(VLOOKUP($C$8,'1st Term'!$B$9:$AN$48,13,FALSE))</f>
        <v>40</v>
      </c>
      <c r="K24" s="31">
        <f t="shared" si="2"/>
        <v>133</v>
      </c>
      <c r="L24" s="26">
        <f t="shared" si="0"/>
        <v>44.333333333333336</v>
      </c>
      <c r="M24" s="31" t="str">
        <f t="shared" si="3"/>
        <v>P</v>
      </c>
    </row>
    <row r="25" spans="1:13" ht="15" customHeight="1" x14ac:dyDescent="0.25">
      <c r="A25" s="20" t="s">
        <v>9</v>
      </c>
      <c r="B25" s="8"/>
      <c r="C25" s="8"/>
      <c r="D25" s="8"/>
      <c r="E25" s="8"/>
      <c r="F25" s="1">
        <f>VLOOKUP(C8,'3rd Term'!B9:AN48,14,FALSE)</f>
        <v>17</v>
      </c>
      <c r="G25" s="31">
        <f>VLOOKUP(C8,'3rd Term'!B9:AN48,15,FALSE)</f>
        <v>29</v>
      </c>
      <c r="H25" s="31">
        <f t="shared" si="1"/>
        <v>46</v>
      </c>
      <c r="I25" s="31">
        <f>(VLOOKUP(C8,'2nd Term'!B9:AN48,14,FALSE))+(VLOOKUP(C8,'2nd Term'!B9:AN48,15,FALSE))</f>
        <v>48</v>
      </c>
      <c r="J25" s="31">
        <f>(VLOOKUP($C$8,'1st Term'!$B$9:$AN$48,14,FALSE))+(VLOOKUP($C$8,'1st Term'!$B$9:$AN$48,15,FALSE))</f>
        <v>43</v>
      </c>
      <c r="K25" s="31">
        <f t="shared" si="2"/>
        <v>137</v>
      </c>
      <c r="L25" s="26">
        <f t="shared" si="0"/>
        <v>45.666666666666664</v>
      </c>
      <c r="M25" s="31" t="str">
        <f t="shared" si="3"/>
        <v>P</v>
      </c>
    </row>
    <row r="26" spans="1:13" ht="15" customHeight="1" x14ac:dyDescent="0.25">
      <c r="A26" s="20" t="s">
        <v>10</v>
      </c>
      <c r="B26" s="8"/>
      <c r="C26" s="8"/>
      <c r="D26" s="8"/>
      <c r="E26" s="8"/>
      <c r="F26" s="1">
        <f>VLOOKUP(C8,'3rd Term'!B9:AN48,16,FALSE)</f>
        <v>20</v>
      </c>
      <c r="G26" s="31">
        <f>VLOOKUP(C8,'3rd Term'!B9:AN48,17,FALSE)</f>
        <v>38</v>
      </c>
      <c r="H26" s="31">
        <f t="shared" si="1"/>
        <v>58</v>
      </c>
      <c r="I26" s="31">
        <f>(VLOOKUP(C8,'2nd Term'!B9:AN48,16,FALSE))+(VLOOKUP(C8,'2nd Term'!B9:AN48,17,FALSE))</f>
        <v>39</v>
      </c>
      <c r="J26" s="31">
        <f>(VLOOKUP($C$8,'1st Term'!$B$9:$AN$48,16,FALSE))+(VLOOKUP($C$8,'1st Term'!$B$9:$AN$48,17,FALSE))</f>
        <v>22</v>
      </c>
      <c r="K26" s="31">
        <f t="shared" si="2"/>
        <v>119</v>
      </c>
      <c r="L26" s="26">
        <f t="shared" si="0"/>
        <v>39.666666666666664</v>
      </c>
      <c r="M26" s="31" t="str">
        <f t="shared" si="3"/>
        <v>F</v>
      </c>
    </row>
    <row r="27" spans="1:13" ht="15" hidden="1" customHeight="1" x14ac:dyDescent="0.25">
      <c r="A27" s="20" t="s">
        <v>11</v>
      </c>
      <c r="B27" s="8"/>
      <c r="C27" s="8"/>
      <c r="D27" s="8"/>
      <c r="E27" s="8"/>
      <c r="F27" s="1">
        <f>VLOOKUP(C8,'3rd Term'!B9:AN48,18,FALSE)</f>
        <v>0</v>
      </c>
      <c r="G27" s="31">
        <f>VLOOKUP(C8,'3rd Term'!B9:AN48,19,FALSE)</f>
        <v>0</v>
      </c>
      <c r="H27" s="31">
        <f t="shared" si="1"/>
        <v>0</v>
      </c>
      <c r="I27" s="31">
        <f>(VLOOKUP(C8,'2nd Term'!B9:AN48,18,FALSE))+(VLOOKUP(C8,'2nd Term'!B9:AN48,19,FALSE))</f>
        <v>0</v>
      </c>
      <c r="J27" s="31">
        <f>(VLOOKUP($C$8,'1st Term'!$B$9:$AN$48,18,FALSE))+(VLOOKUP($C$8,'1st Term'!$B$9:$AN$48,19,FALSE))</f>
        <v>0</v>
      </c>
      <c r="K27" s="31" t="str">
        <f t="shared" si="2"/>
        <v>-</v>
      </c>
      <c r="L27" s="26" t="str">
        <f t="shared" si="0"/>
        <v>-</v>
      </c>
      <c r="M27" s="31" t="str">
        <f t="shared" si="3"/>
        <v>-</v>
      </c>
    </row>
    <row r="28" spans="1:13" ht="15" customHeight="1" x14ac:dyDescent="0.25">
      <c r="A28" s="20" t="s">
        <v>13</v>
      </c>
      <c r="B28" s="8"/>
      <c r="C28" s="8"/>
      <c r="D28" s="8"/>
      <c r="E28" s="8"/>
      <c r="F28" s="1">
        <f>VLOOKUP(C8,'3rd Term'!B9:AN48,20,FALSE)</f>
        <v>18</v>
      </c>
      <c r="G28" s="31">
        <f>VLOOKUP(C8,'3rd Term'!B9:AN48,21,FALSE)</f>
        <v>43</v>
      </c>
      <c r="H28" s="31">
        <f t="shared" si="1"/>
        <v>61</v>
      </c>
      <c r="I28" s="31">
        <f>(VLOOKUP(C8,'2nd Term'!B9:AN48,20,FALSE))+(VLOOKUP(C8,'2nd Term'!B9:AN48,21,FALSE))</f>
        <v>75</v>
      </c>
      <c r="J28" s="31">
        <f>(VLOOKUP($C$8,'1st Term'!$B$9:$AN$48,20,FALSE))+(VLOOKUP($C$8,'1st Term'!$B$9:$AN$48,21,FALSE))</f>
        <v>48</v>
      </c>
      <c r="K28" s="31">
        <f t="shared" si="2"/>
        <v>184</v>
      </c>
      <c r="L28" s="26">
        <f t="shared" si="0"/>
        <v>61.333333333333336</v>
      </c>
      <c r="M28" s="31" t="str">
        <f t="shared" si="3"/>
        <v>C</v>
      </c>
    </row>
    <row r="29" spans="1:13" x14ac:dyDescent="0.25">
      <c r="A29" s="20" t="s">
        <v>14</v>
      </c>
      <c r="B29" s="8"/>
      <c r="C29" s="8"/>
      <c r="D29" s="8"/>
      <c r="E29" s="8"/>
      <c r="F29" s="1">
        <f>VLOOKUP(C8,'3rd Term'!B9:AN48,22,FALSE)</f>
        <v>20</v>
      </c>
      <c r="G29" s="31">
        <f>VLOOKUP(C8,'3rd Term'!B9:AN48,23,FALSE)</f>
        <v>27</v>
      </c>
      <c r="H29" s="31">
        <f t="shared" si="1"/>
        <v>47</v>
      </c>
      <c r="I29" s="31">
        <f>(VLOOKUP(C8,'2nd Term'!B9:AN48,22,FALSE))+(VLOOKUP(C8,'2nd Term'!B9:AN48,23,FALSE))</f>
        <v>41</v>
      </c>
      <c r="J29" s="31">
        <f>(VLOOKUP($C$8,'1st Term'!$B$9:$AN$48,22,FALSE))+(VLOOKUP($C$8,'1st Term'!$B$9:$AN$48,23,FALSE))</f>
        <v>53</v>
      </c>
      <c r="K29" s="31">
        <f t="shared" si="2"/>
        <v>141</v>
      </c>
      <c r="L29" s="26">
        <f t="shared" si="0"/>
        <v>47</v>
      </c>
      <c r="M29" s="31" t="str">
        <f t="shared" si="3"/>
        <v>P</v>
      </c>
    </row>
    <row r="30" spans="1:13" x14ac:dyDescent="0.25">
      <c r="A30" s="20" t="s">
        <v>15</v>
      </c>
      <c r="B30" s="8"/>
      <c r="C30" s="8"/>
      <c r="D30" s="8"/>
      <c r="E30" s="8"/>
      <c r="F30" s="1">
        <f>VLOOKUP(C8,'3rd Term'!B9:AN48,24,FALSE)</f>
        <v>22</v>
      </c>
      <c r="G30" s="31">
        <f>VLOOKUP(C8,'3rd Term'!B9:AN48,25,FALSE)</f>
        <v>38</v>
      </c>
      <c r="H30" s="31">
        <f t="shared" si="1"/>
        <v>60</v>
      </c>
      <c r="I30" s="31">
        <f>(VLOOKUP(C8,'2nd Term'!B9:AN48,24,FALSE))+(VLOOKUP(C8,'2nd Term'!B9:AN48,25,FALSE))</f>
        <v>61</v>
      </c>
      <c r="J30" s="31">
        <f>(VLOOKUP($C$8,'1st Term'!$B$9:$AN$48,24,FALSE))+(VLOOKUP($C$8,'1st Term'!$B$9:$AN$48,25,FALSE))</f>
        <v>62</v>
      </c>
      <c r="K30" s="31">
        <f t="shared" si="2"/>
        <v>183</v>
      </c>
      <c r="L30" s="26">
        <f t="shared" si="0"/>
        <v>61</v>
      </c>
      <c r="M30" s="31" t="str">
        <f t="shared" si="3"/>
        <v>C</v>
      </c>
    </row>
    <row r="31" spans="1:13" hidden="1" x14ac:dyDescent="0.25">
      <c r="A31" s="20" t="s">
        <v>22</v>
      </c>
      <c r="B31" s="8"/>
      <c r="C31" s="8"/>
      <c r="D31" s="8"/>
      <c r="E31" s="8"/>
      <c r="F31" s="1">
        <f>VLOOKUP(C8,'3rd Term'!B9:AN48,26,FALSE)</f>
        <v>0</v>
      </c>
      <c r="G31" s="31">
        <f>VLOOKUP(C8,'3rd Term'!B9:AN48,27,FALSE)</f>
        <v>0</v>
      </c>
      <c r="H31" s="31">
        <f t="shared" si="1"/>
        <v>0</v>
      </c>
      <c r="I31" s="31">
        <f>(VLOOKUP(C8,'2nd Term'!B9:AN48,26,FALSE))+(VLOOKUP(C8,'2nd Term'!B9:AN48,27,FALSE))</f>
        <v>0</v>
      </c>
      <c r="J31" s="31">
        <f>(VLOOKUP($C$8,'1st Term'!$B$9:$AN$48,26,FALSE))+(VLOOKUP($C$8,'1st Term'!$B$9:$AN$48,27,FALSE))</f>
        <v>0</v>
      </c>
      <c r="K31" s="31" t="str">
        <f t="shared" si="2"/>
        <v>-</v>
      </c>
      <c r="L31" s="26" t="str">
        <f t="shared" si="0"/>
        <v>-</v>
      </c>
      <c r="M31" s="31" t="str">
        <f t="shared" si="3"/>
        <v>-</v>
      </c>
    </row>
    <row r="32" spans="1:13" x14ac:dyDescent="0.25">
      <c r="A32" s="20" t="s">
        <v>16</v>
      </c>
      <c r="B32" s="8"/>
      <c r="C32" s="8"/>
      <c r="D32" s="8"/>
      <c r="E32" s="8"/>
      <c r="F32" s="1">
        <f>VLOOKUP(C8,'3rd Term'!B9:AN48,28,FALSE)</f>
        <v>19</v>
      </c>
      <c r="G32" s="31">
        <f>VLOOKUP(C8,'3rd Term'!B9:AN48,29,FALSE)</f>
        <v>12</v>
      </c>
      <c r="H32" s="31">
        <f t="shared" si="1"/>
        <v>31</v>
      </c>
      <c r="I32" s="31">
        <f>(VLOOKUP(C8,'2nd Term'!B9:AN48,28,FALSE))+(VLOOKUP(C8,'2nd Term'!B9:AN48,29,FALSE))</f>
        <v>38</v>
      </c>
      <c r="J32" s="31">
        <f>(VLOOKUP($C$8,'1st Term'!$B$9:$AN$48,28,FALSE))+(VLOOKUP($C$8,'1st Term'!$B$9:$AN$48,29,FALSE))</f>
        <v>27</v>
      </c>
      <c r="K32" s="31">
        <f t="shared" si="2"/>
        <v>96</v>
      </c>
      <c r="L32" s="26">
        <f t="shared" si="0"/>
        <v>32</v>
      </c>
      <c r="M32" s="31" t="str">
        <f t="shared" si="3"/>
        <v>F</v>
      </c>
    </row>
    <row r="33" spans="1:13" x14ac:dyDescent="0.25">
      <c r="A33" s="20" t="s">
        <v>17</v>
      </c>
      <c r="B33" s="8"/>
      <c r="C33" s="8"/>
      <c r="D33" s="8"/>
      <c r="E33" s="8"/>
      <c r="F33" s="1">
        <f>VLOOKUP(C8,'3rd Term'!B9:AN48,30,FALSE)</f>
        <v>30</v>
      </c>
      <c r="G33" s="31">
        <f>VLOOKUP(C8,'3rd Term'!B9:AN48,31,FALSE)</f>
        <v>16</v>
      </c>
      <c r="H33" s="31">
        <f t="shared" si="1"/>
        <v>46</v>
      </c>
      <c r="I33" s="31">
        <f>(VLOOKUP(C8,'2nd Term'!B9:AN48,30,FALSE))+(VLOOKUP(C8,'2nd Term'!B9:AN48,31,FALSE))</f>
        <v>73</v>
      </c>
      <c r="J33" s="31">
        <f>(VLOOKUP($C$8,'1st Term'!$B$9:$AN$48,30,FALSE))+(VLOOKUP($C$8,'1st Term'!$B$9:$AN$48,31,FALSE))</f>
        <v>81</v>
      </c>
      <c r="K33" s="31">
        <f t="shared" si="2"/>
        <v>200</v>
      </c>
      <c r="L33" s="26">
        <f t="shared" si="0"/>
        <v>66.666666666666671</v>
      </c>
      <c r="M33" s="31" t="str">
        <f t="shared" si="3"/>
        <v>C</v>
      </c>
    </row>
    <row r="34" spans="1:13" x14ac:dyDescent="0.25">
      <c r="A34" s="20" t="s">
        <v>18</v>
      </c>
      <c r="B34" s="8"/>
      <c r="C34" s="8"/>
      <c r="D34" s="8"/>
      <c r="E34" s="8"/>
      <c r="F34" s="1">
        <f>VLOOKUP(C8,'3rd Term'!B9:AN48,32,FALSE)</f>
        <v>21</v>
      </c>
      <c r="G34" s="31">
        <f>VLOOKUP(C8,'3rd Term'!B9:AN48,33,FALSE)</f>
        <v>35</v>
      </c>
      <c r="H34" s="31">
        <f t="shared" si="1"/>
        <v>56</v>
      </c>
      <c r="I34" s="31">
        <f>(VLOOKUP(C8,'2nd Term'!B9:AN48,32,FALSE))+(VLOOKUP(C8,'2nd Term'!B9:AN48,33,FALSE))</f>
        <v>62</v>
      </c>
      <c r="J34" s="31">
        <f>(VLOOKUP($C$8,'1st Term'!$B$9:$AN$48,32,FALSE))+(VLOOKUP($C$8,'1st Term'!$B$9:$AN$48,33,FALSE))</f>
        <v>57</v>
      </c>
      <c r="K34" s="31">
        <f t="shared" si="2"/>
        <v>175</v>
      </c>
      <c r="L34" s="26">
        <f t="shared" si="0"/>
        <v>58.333333333333336</v>
      </c>
      <c r="M34" s="31" t="str">
        <f t="shared" si="3"/>
        <v>C</v>
      </c>
    </row>
    <row r="35" spans="1:13" x14ac:dyDescent="0.25">
      <c r="A35" s="20" t="s">
        <v>19</v>
      </c>
      <c r="B35" s="8"/>
      <c r="C35" s="8"/>
      <c r="D35" s="8"/>
      <c r="E35" s="8"/>
      <c r="F35" s="1">
        <f>VLOOKUP(C8,'3rd Term'!B9:AN48,34,FALSE)</f>
        <v>17</v>
      </c>
      <c r="G35" s="31">
        <f>VLOOKUP(C8,'3rd Term'!B9:AN48,35,FALSE)</f>
        <v>20</v>
      </c>
      <c r="H35" s="31">
        <f t="shared" si="1"/>
        <v>37</v>
      </c>
      <c r="I35" s="31">
        <f>(VLOOKUP(C8,'2nd Term'!B9:AN48,34,FALSE))+(VLOOKUP(C8,'2nd Term'!B9:AN48,35,FALSE))</f>
        <v>55</v>
      </c>
      <c r="J35" s="31">
        <f>(VLOOKUP($C$8,'1st Term'!$B$9:$AN$48,34,FALSE))+(VLOOKUP($C$8,'1st Term'!$B$9:$AN$48,35,FALSE))</f>
        <v>28</v>
      </c>
      <c r="K35" s="31">
        <f t="shared" si="2"/>
        <v>120</v>
      </c>
      <c r="L35" s="26">
        <f t="shared" si="0"/>
        <v>40</v>
      </c>
      <c r="M35" s="31" t="str">
        <f t="shared" si="3"/>
        <v>P</v>
      </c>
    </row>
    <row r="36" spans="1:13" x14ac:dyDescent="0.25">
      <c r="A36" s="20" t="s">
        <v>20</v>
      </c>
      <c r="B36" s="8"/>
      <c r="C36" s="8"/>
      <c r="D36" s="8"/>
      <c r="E36" s="8"/>
      <c r="F36" s="1">
        <f>VLOOKUP(C8,'3rd Term'!B9:AN48,36,FALSE)</f>
        <v>22</v>
      </c>
      <c r="G36" s="31">
        <f>VLOOKUP(C8,'3rd Term'!B9:AN48,37,FALSE)</f>
        <v>39</v>
      </c>
      <c r="H36" s="31">
        <f t="shared" si="1"/>
        <v>61</v>
      </c>
      <c r="I36" s="31">
        <f>(VLOOKUP(C8,'2nd Term'!B9:AN48,36,FALSE))+(VLOOKUP(C8,'2nd Term'!B9:AN48,37,FALSE))</f>
        <v>62</v>
      </c>
      <c r="J36" s="31">
        <f>(VLOOKUP($C$8,'1st Term'!$B$9:$AN$48,36,FALSE))+(VLOOKUP($C$8,'1st Term'!$B$9:$AN$48,37,FALSE))</f>
        <v>46</v>
      </c>
      <c r="K36" s="31">
        <f t="shared" si="2"/>
        <v>169</v>
      </c>
      <c r="L36" s="26">
        <f t="shared" si="0"/>
        <v>56.333333333333336</v>
      </c>
      <c r="M36" s="31" t="str">
        <f t="shared" si="3"/>
        <v>C</v>
      </c>
    </row>
    <row r="37" spans="1:13" x14ac:dyDescent="0.25">
      <c r="A37" s="18" t="s">
        <v>21</v>
      </c>
      <c r="B37" s="7"/>
      <c r="C37" s="7"/>
      <c r="D37" s="7"/>
      <c r="E37" s="7"/>
      <c r="F37" s="57">
        <f>VLOOKUP(C8,'3rd Term'!B9:AN48,38,FALSE)</f>
        <v>14</v>
      </c>
      <c r="G37" s="31">
        <f>VLOOKUP(C8,'3rd Term'!B9:AN48,39,FALSE)</f>
        <v>20</v>
      </c>
      <c r="H37" s="31">
        <f t="shared" si="1"/>
        <v>34</v>
      </c>
      <c r="I37" s="31">
        <f>(VLOOKUP(C8,'2nd Term'!B9:AN48,38,FALSE))+(VLOOKUP(C8,'2nd Term'!B9:AN48,39,FALSE))</f>
        <v>66</v>
      </c>
      <c r="J37" s="31">
        <f>(VLOOKUP($C$8,'1st Term'!$B$9:$AN$48,38,FALSE))+(VLOOKUP($C$8,'1st Term'!$B$9:$AN$48,39,FALSE))</f>
        <v>68</v>
      </c>
      <c r="K37" s="31">
        <f t="shared" si="2"/>
        <v>168</v>
      </c>
      <c r="L37" s="26">
        <f t="shared" si="0"/>
        <v>56</v>
      </c>
      <c r="M37" s="31" t="str">
        <f t="shared" si="3"/>
        <v>C</v>
      </c>
    </row>
    <row r="43" spans="1:13" x14ac:dyDescent="0.25">
      <c r="G43" s="110" t="s">
        <v>62</v>
      </c>
      <c r="H43" s="110"/>
      <c r="I43" s="110"/>
      <c r="J43" s="110"/>
      <c r="K43" s="110"/>
      <c r="L43" s="110"/>
      <c r="M43" s="110"/>
    </row>
    <row r="44" spans="1:13" x14ac:dyDescent="0.25">
      <c r="A44" s="77" t="s">
        <v>58</v>
      </c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</row>
    <row r="45" spans="1:13" ht="12.75" customHeight="1" x14ac:dyDescent="0.25">
      <c r="A45" s="50" t="str">
        <f>VLOOKUP(C8,comments!B8:X47,7,0)</f>
        <v>She is improving gradually but needs to participate more in class discussions.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</row>
    <row r="46" spans="1:13" x14ac:dyDescent="0.25">
      <c r="A46" s="50"/>
      <c r="B46" s="50"/>
      <c r="C46" s="50"/>
      <c r="D46" s="50"/>
      <c r="E46" s="50"/>
      <c r="F46" s="78"/>
      <c r="G46" s="78"/>
      <c r="H46" s="78"/>
      <c r="I46" s="78"/>
      <c r="J46" s="78"/>
      <c r="K46" s="78"/>
      <c r="L46" s="78"/>
      <c r="M46" s="78"/>
    </row>
    <row r="47" spans="1:13" x14ac:dyDescent="0.25">
      <c r="A47" s="79" t="s">
        <v>60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</row>
    <row r="48" spans="1:13" ht="12" customHeight="1" x14ac:dyDescent="0.25">
      <c r="A48" s="50" t="str">
        <f>VLOOKUP(C8,comments!B8:X47,14,0)</f>
        <v>Just fair. You can improve if only you will be more regular at school next term. Promoted to the Next Class.</v>
      </c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</row>
    <row r="49" spans="1:13" x14ac:dyDescent="0.25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</row>
    <row r="50" spans="1:13" x14ac:dyDescent="0.25">
      <c r="A50" s="79" t="s">
        <v>59</v>
      </c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</row>
    <row r="51" spans="1:13" ht="12" customHeight="1" x14ac:dyDescent="0.25">
      <c r="A51" s="78" t="s">
        <v>61</v>
      </c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</row>
  </sheetData>
  <sheetProtection algorithmName="SHA-512" hashValue="j3MRfMa5QBopU7khU4QSbMsth6BbB1EQw/T0JDUX/waO2Oy03v9122iHsXEzkhCPV42scU5whDSeSXdex6KcGg==" saltValue="ayDf6RtqgYthSai0/OTsVQ==" spinCount="100000" sheet="1" scenarios="1"/>
  <mergeCells count="13">
    <mergeCell ref="I14:I17"/>
    <mergeCell ref="A18:B18"/>
    <mergeCell ref="G43:M43"/>
    <mergeCell ref="B1:M2"/>
    <mergeCell ref="B3:M3"/>
    <mergeCell ref="B4:M4"/>
    <mergeCell ref="B5:M6"/>
    <mergeCell ref="K7:M12"/>
    <mergeCell ref="A8:B8"/>
    <mergeCell ref="A9:B9"/>
    <mergeCell ref="A10:B10"/>
    <mergeCell ref="A11:B11"/>
    <mergeCell ref="A12:B12"/>
  </mergeCells>
  <conditionalFormatting sqref="M19:M37">
    <cfRule type="cellIs" dxfId="19" priority="3" operator="equal">
      <formula>"F"</formula>
    </cfRule>
    <cfRule type="cellIs" dxfId="18" priority="4" operator="equal">
      <formula>"P"</formula>
    </cfRule>
    <cfRule type="cellIs" dxfId="17" priority="5" operator="equal">
      <formula>"C"</formula>
    </cfRule>
    <cfRule type="cellIs" dxfId="16" priority="6" operator="equal">
      <formula>"A"</formula>
    </cfRule>
  </conditionalFormatting>
  <conditionalFormatting sqref="F19:J37">
    <cfRule type="cellIs" dxfId="15" priority="1" operator="equal">
      <formula>0</formula>
    </cfRule>
    <cfRule type="colorScale" priority="2">
      <colorScale>
        <cfvo type="min"/>
        <cfvo type="num" val="0"/>
        <color rgb="FFFF7128"/>
        <color theme="0"/>
      </colorScale>
    </cfRule>
  </conditionalFormatting>
  <dataValidations count="1">
    <dataValidation type="list" allowBlank="1" showInputMessage="1" showErrorMessage="1" sqref="M14:M17" xr:uid="{A469BB3B-4977-4862-A661-D2497B8E53C0}">
      <formula1>"A,B,C,D,E"</formula1>
    </dataValidation>
  </dataValidations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750C1-9C52-4623-A2FE-7D3F8FAEDCDA}">
  <sheetPr>
    <tabColor rgb="FF7030A0"/>
  </sheetPr>
  <dimension ref="A1:M51"/>
  <sheetViews>
    <sheetView workbookViewId="0">
      <selection activeCell="P12" sqref="P12"/>
    </sheetView>
  </sheetViews>
  <sheetFormatPr defaultRowHeight="15" x14ac:dyDescent="0.25"/>
  <cols>
    <col min="3" max="3" width="8.140625" customWidth="1"/>
    <col min="4" max="4" width="9.42578125" customWidth="1"/>
    <col min="5" max="5" width="10.5703125" customWidth="1"/>
    <col min="6" max="6" width="6.28515625" customWidth="1"/>
    <col min="7" max="8" width="5.85546875" customWidth="1"/>
    <col min="9" max="9" width="5.5703125" customWidth="1"/>
    <col min="10" max="11" width="5.28515625" customWidth="1"/>
    <col min="12" max="12" width="6.28515625" customWidth="1"/>
    <col min="13" max="13" width="5.7109375" customWidth="1"/>
  </cols>
  <sheetData>
    <row r="1" spans="1:13" ht="15" customHeight="1" x14ac:dyDescent="0.25">
      <c r="A1" s="10"/>
      <c r="B1" s="116" t="s">
        <v>185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</row>
    <row r="2" spans="1:13" ht="15" customHeight="1" x14ac:dyDescent="0.25">
      <c r="A2" s="10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</row>
    <row r="3" spans="1:13" ht="15.75" x14ac:dyDescent="0.25">
      <c r="A3" s="10"/>
      <c r="B3" s="117" t="s">
        <v>184</v>
      </c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</row>
    <row r="4" spans="1:13" ht="15.75" x14ac:dyDescent="0.25">
      <c r="A4" s="10"/>
      <c r="B4" s="118" t="s">
        <v>186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</row>
    <row r="5" spans="1:13" ht="15" customHeight="1" x14ac:dyDescent="0.25">
      <c r="A5" s="10"/>
      <c r="B5" s="119" t="s">
        <v>36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</row>
    <row r="6" spans="1:13" ht="15" customHeight="1" x14ac:dyDescent="0.25">
      <c r="A6" s="10"/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</row>
    <row r="7" spans="1:13" ht="15" customHeight="1" x14ac:dyDescent="0.25">
      <c r="I7" s="10"/>
      <c r="J7" s="10"/>
      <c r="K7" s="122" t="s">
        <v>105</v>
      </c>
      <c r="L7" s="122"/>
      <c r="M7" s="122"/>
    </row>
    <row r="8" spans="1:13" x14ac:dyDescent="0.25">
      <c r="A8" s="120" t="s">
        <v>37</v>
      </c>
      <c r="B8" s="120"/>
      <c r="C8" s="29" t="str">
        <f>('1st Term'!B28)</f>
        <v>SAKA FAREED</v>
      </c>
      <c r="D8" s="8"/>
      <c r="E8" s="8"/>
      <c r="F8" s="8"/>
      <c r="G8" s="8"/>
      <c r="H8" s="9"/>
      <c r="I8" s="10"/>
      <c r="J8" s="10"/>
      <c r="K8" s="122"/>
      <c r="L8" s="122"/>
      <c r="M8" s="122"/>
    </row>
    <row r="9" spans="1:13" x14ac:dyDescent="0.25">
      <c r="A9" s="121" t="s">
        <v>38</v>
      </c>
      <c r="B9" s="115"/>
      <c r="C9" s="29" t="str">
        <f>('1st Term'!B7)</f>
        <v>JSS 1A</v>
      </c>
      <c r="D9" s="8"/>
      <c r="E9" s="8"/>
      <c r="F9" s="8"/>
      <c r="G9" s="8"/>
      <c r="H9" s="9"/>
      <c r="I9" s="10"/>
      <c r="J9" s="10"/>
      <c r="K9" s="122"/>
      <c r="L9" s="122"/>
      <c r="M9" s="122"/>
    </row>
    <row r="10" spans="1:13" x14ac:dyDescent="0.25">
      <c r="A10" s="121" t="s">
        <v>39</v>
      </c>
      <c r="B10" s="115"/>
      <c r="C10" s="29" t="str">
        <f>(comments!C4)</f>
        <v>2025/2026</v>
      </c>
      <c r="D10" s="8"/>
      <c r="E10" s="8"/>
      <c r="F10" s="43"/>
      <c r="G10" s="43"/>
      <c r="H10" s="9"/>
      <c r="I10" s="10"/>
      <c r="J10" s="10"/>
      <c r="K10" s="122"/>
      <c r="L10" s="122"/>
      <c r="M10" s="122"/>
    </row>
    <row r="11" spans="1:13" x14ac:dyDescent="0.25">
      <c r="A11" s="121" t="s">
        <v>40</v>
      </c>
      <c r="B11" s="115"/>
      <c r="C11" s="30" t="str">
        <f>(comments!B5)</f>
        <v>THIRD TERM</v>
      </c>
      <c r="D11" s="7"/>
      <c r="E11" s="7"/>
      <c r="F11" s="13" t="s">
        <v>167</v>
      </c>
      <c r="G11" s="8"/>
      <c r="H11" s="53">
        <f>INDEX(comments!D8:D47,MATCH(sheet20!C8,comments!B8:B47,0))</f>
        <v>64.568627450980401</v>
      </c>
      <c r="I11" s="10"/>
      <c r="J11" s="10"/>
      <c r="K11" s="122"/>
      <c r="L11" s="122"/>
      <c r="M11" s="122"/>
    </row>
    <row r="12" spans="1:13" x14ac:dyDescent="0.25">
      <c r="A12" s="114" t="s">
        <v>41</v>
      </c>
      <c r="B12" s="115"/>
      <c r="C12" s="30" t="str">
        <f>(comments!E6)</f>
        <v>20TH APRIL 2026</v>
      </c>
      <c r="D12" s="7"/>
      <c r="E12" s="7"/>
      <c r="F12" s="13" t="s">
        <v>44</v>
      </c>
      <c r="G12" s="8"/>
      <c r="H12" s="51" t="str">
        <f>INDEX(comments!E8:E47,MATCH(sheet20!C8,comments!B8:B47,0))</f>
        <v>4th</v>
      </c>
      <c r="I12" s="10"/>
      <c r="J12" s="10"/>
      <c r="K12" s="123"/>
      <c r="L12" s="123"/>
      <c r="M12" s="123"/>
    </row>
    <row r="13" spans="1:13" x14ac:dyDescent="0.25">
      <c r="A13" s="48"/>
      <c r="B13" s="49"/>
      <c r="C13" s="50"/>
      <c r="F13" s="25"/>
      <c r="H13" s="52"/>
      <c r="I13" s="10"/>
      <c r="J13" s="10"/>
      <c r="K13" s="54"/>
      <c r="L13" s="54"/>
      <c r="M13" s="54"/>
    </row>
    <row r="14" spans="1:13" ht="16.5" customHeight="1" x14ac:dyDescent="0.25">
      <c r="A14" s="16" t="s">
        <v>48</v>
      </c>
      <c r="B14" s="8"/>
      <c r="C14" s="8"/>
      <c r="D14" s="13" t="s">
        <v>49</v>
      </c>
      <c r="E14" s="8"/>
      <c r="F14" s="8"/>
      <c r="G14" s="8"/>
      <c r="H14" s="15"/>
      <c r="I14" s="113" t="s">
        <v>50</v>
      </c>
      <c r="J14" s="45" t="s">
        <v>32</v>
      </c>
      <c r="K14" s="44"/>
      <c r="L14" s="17"/>
      <c r="M14" s="44" t="s">
        <v>52</v>
      </c>
    </row>
    <row r="15" spans="1:13" ht="21" customHeight="1" x14ac:dyDescent="0.25">
      <c r="A15" s="11" t="s">
        <v>46</v>
      </c>
      <c r="B15" s="7"/>
      <c r="C15" s="7"/>
      <c r="D15" s="55">
        <f>(comments!C6)</f>
        <v>110</v>
      </c>
      <c r="E15" s="8"/>
      <c r="F15" s="8"/>
      <c r="G15" s="8"/>
      <c r="H15" s="14"/>
      <c r="I15" s="113"/>
      <c r="J15" s="45" t="s">
        <v>33</v>
      </c>
      <c r="K15" s="44"/>
      <c r="L15" s="17"/>
      <c r="M15" s="44" t="s">
        <v>51</v>
      </c>
    </row>
    <row r="16" spans="1:13" ht="18.75" customHeight="1" x14ac:dyDescent="0.25">
      <c r="A16" s="12" t="s">
        <v>47</v>
      </c>
      <c r="B16" s="8"/>
      <c r="C16" s="8"/>
      <c r="D16" s="56">
        <f>VLOOKUP(C8,comments!B8:C47,2,FALSE)</f>
        <v>0</v>
      </c>
      <c r="E16" s="8"/>
      <c r="F16" s="8"/>
      <c r="G16" s="8"/>
      <c r="H16" s="14"/>
      <c r="I16" s="113"/>
      <c r="J16" s="45" t="s">
        <v>34</v>
      </c>
      <c r="K16" s="44"/>
      <c r="L16" s="17"/>
      <c r="M16" s="44" t="s">
        <v>51</v>
      </c>
    </row>
    <row r="17" spans="1:13" ht="17.25" customHeight="1" x14ac:dyDescent="0.25">
      <c r="A17" s="11" t="s">
        <v>45</v>
      </c>
      <c r="B17" s="7"/>
      <c r="C17" s="7"/>
      <c r="D17" s="56">
        <f>(comments!D6)</f>
        <v>22</v>
      </c>
      <c r="E17" s="8"/>
      <c r="F17" s="8"/>
      <c r="G17" s="8"/>
      <c r="H17" s="14"/>
      <c r="I17" s="113"/>
      <c r="J17" s="47" t="s">
        <v>35</v>
      </c>
      <c r="K17" s="46"/>
      <c r="L17" s="40"/>
      <c r="M17" s="44" t="s">
        <v>52</v>
      </c>
    </row>
    <row r="18" spans="1:13" ht="61.5" customHeight="1" x14ac:dyDescent="0.25">
      <c r="A18" s="111" t="s">
        <v>53</v>
      </c>
      <c r="B18" s="112"/>
      <c r="C18" s="19"/>
      <c r="D18" s="19"/>
      <c r="E18" s="19"/>
      <c r="F18" s="41" t="s">
        <v>172</v>
      </c>
      <c r="G18" s="41" t="s">
        <v>171</v>
      </c>
      <c r="H18" s="41" t="s">
        <v>173</v>
      </c>
      <c r="I18" s="42" t="s">
        <v>174</v>
      </c>
      <c r="J18" s="42" t="s">
        <v>175</v>
      </c>
      <c r="K18" s="41" t="s">
        <v>165</v>
      </c>
      <c r="L18" s="41" t="s">
        <v>166</v>
      </c>
      <c r="M18" s="41" t="s">
        <v>54</v>
      </c>
    </row>
    <row r="19" spans="1:13" ht="15" customHeight="1" x14ac:dyDescent="0.25">
      <c r="A19" s="20" t="s">
        <v>6</v>
      </c>
      <c r="B19" s="8"/>
      <c r="C19" s="8"/>
      <c r="D19" s="8"/>
      <c r="E19" s="8"/>
      <c r="F19" s="31">
        <f>VLOOKUP(C8,'3rd Term'!B9:AN48,2,FALSE)</f>
        <v>20</v>
      </c>
      <c r="G19" s="31">
        <f>VLOOKUP(C8,'3rd Term'!B9:AN48,3,FALSE)</f>
        <v>40</v>
      </c>
      <c r="H19" s="31">
        <f>SUM(F19:G19)</f>
        <v>60</v>
      </c>
      <c r="I19" s="5">
        <f>(VLOOKUP(C8,'2nd Term'!B9:AN48,2,FALSE))+(VLOOKUP(C8,'2nd Term'!B9:AN48,3,FALSE))</f>
        <v>98</v>
      </c>
      <c r="J19" s="31">
        <f>(VLOOKUP($C$8,'1st Term'!$B$9:$AN$48,2,FALSE))+(VLOOKUP($C$8,'1st Term'!$B$9:$AN$48,3,FALSE))</f>
        <v>96</v>
      </c>
      <c r="K19" s="31">
        <f>IF(SUM(H19:J19)=0,"-",SUM(H19:J19))</f>
        <v>254</v>
      </c>
      <c r="L19" s="26">
        <f t="shared" ref="L19:L37" si="0">IFERROR(((H19)+(I19)+(J19))/((--(H19&gt;0))+(--(I19&gt;0))+(--(J19&gt;0))),"-")</f>
        <v>84.666666666666671</v>
      </c>
      <c r="M19" s="31" t="str">
        <f>IF(L19="-","-",IF(L19&gt;=70,"A",IF(L19&gt;=50,"C",IF(L19&gt;=40,"P","F"))))</f>
        <v>A</v>
      </c>
    </row>
    <row r="20" spans="1:13" ht="15" customHeight="1" x14ac:dyDescent="0.25">
      <c r="A20" s="20" t="s">
        <v>3</v>
      </c>
      <c r="B20" s="8"/>
      <c r="C20" s="8"/>
      <c r="D20" s="8"/>
      <c r="E20" s="8"/>
      <c r="F20" s="1">
        <f>VLOOKUP(C8,'3rd Term'!B9:AN48,4,FALSE)</f>
        <v>15</v>
      </c>
      <c r="G20" s="31">
        <f>VLOOKUP(C8,'3rd Term'!B9:AN48,5,FALSE)</f>
        <v>50</v>
      </c>
      <c r="H20" s="31">
        <f t="shared" ref="H20:H37" si="1">SUM(F20:G20)</f>
        <v>65</v>
      </c>
      <c r="I20" s="31">
        <f>(VLOOKUP(C8,'2nd Term'!B9:AN48,4,FALSE))+(VLOOKUP(C8,'2nd Term'!B9:AN48,5,FALSE))</f>
        <v>93</v>
      </c>
      <c r="J20" s="31">
        <f>(VLOOKUP($C$8,'1st Term'!$B$9:$AN$48,4,FALSE))+(VLOOKUP($C$8,'1st Term'!$B$9:$AN$48,5,FALSE))</f>
        <v>85</v>
      </c>
      <c r="K20" s="31">
        <f t="shared" ref="K20:K37" si="2">IF(SUM(H20:J20)=0,"-",SUM(H20:J20))</f>
        <v>243</v>
      </c>
      <c r="L20" s="26">
        <f t="shared" si="0"/>
        <v>81</v>
      </c>
      <c r="M20" s="31" t="str">
        <f t="shared" ref="M20:M37" si="3">IF(L20="-","-",IF(L20&gt;=70,"A",IF(L20&gt;=50,"C",IF(L20&gt;=40,"P","F"))))</f>
        <v>A</v>
      </c>
    </row>
    <row r="21" spans="1:13" ht="15" customHeight="1" x14ac:dyDescent="0.25">
      <c r="A21" s="20" t="s">
        <v>4</v>
      </c>
      <c r="B21" s="8"/>
      <c r="C21" s="8"/>
      <c r="D21" s="8"/>
      <c r="E21" s="8"/>
      <c r="F21" s="1">
        <f>VLOOKUP(C8,'3rd Term'!B9:AN48,6,FALSE)</f>
        <v>12</v>
      </c>
      <c r="G21" s="31">
        <f>VLOOKUP(C8,'3rd Term'!B9:AN48,7,FALSE)</f>
        <v>30</v>
      </c>
      <c r="H21" s="31">
        <f t="shared" si="1"/>
        <v>42</v>
      </c>
      <c r="I21" s="31">
        <f>(VLOOKUP(C8,'2nd Term'!B9:AN48,6,FALSE))+(VLOOKUP(C8,'2nd Term'!B9:AN48,7,FALSE))</f>
        <v>99</v>
      </c>
      <c r="J21" s="31">
        <f>(VLOOKUP($C$8,'1st Term'!$B$9:$AN$48,6,FALSE))+(VLOOKUP($C$8,'1st Term'!$B$9:$AN$48,7,FALSE))</f>
        <v>92</v>
      </c>
      <c r="K21" s="31">
        <f t="shared" si="2"/>
        <v>233</v>
      </c>
      <c r="L21" s="26">
        <f t="shared" si="0"/>
        <v>77.666666666666671</v>
      </c>
      <c r="M21" s="31" t="str">
        <f t="shared" si="3"/>
        <v>A</v>
      </c>
    </row>
    <row r="22" spans="1:13" ht="15" customHeight="1" x14ac:dyDescent="0.25">
      <c r="A22" s="20" t="s">
        <v>5</v>
      </c>
      <c r="B22" s="8"/>
      <c r="C22" s="8"/>
      <c r="D22" s="8"/>
      <c r="E22" s="8"/>
      <c r="F22" s="1">
        <f>VLOOKUP(C8,'3rd Term'!B9:AN48,8,FALSE)</f>
        <v>20</v>
      </c>
      <c r="G22" s="31">
        <f>VLOOKUP(C8,'3rd Term'!B9:AN48,9,FALSE)</f>
        <v>20</v>
      </c>
      <c r="H22" s="31">
        <f t="shared" si="1"/>
        <v>40</v>
      </c>
      <c r="I22" s="31">
        <f>(VLOOKUP(C8,'2nd Term'!B9:AN48,8,FALSE))+(VLOOKUP(C8,'2nd Term'!B9:AN48,9,FALSE))</f>
        <v>50</v>
      </c>
      <c r="J22" s="31">
        <f>(VLOOKUP($C$8,'1st Term'!$B$9:$AN$48,8,FALSE))+(VLOOKUP($C$8,'1st Term'!$B$9:$AN$48,9,FALSE))</f>
        <v>76</v>
      </c>
      <c r="K22" s="31">
        <f t="shared" si="2"/>
        <v>166</v>
      </c>
      <c r="L22" s="26">
        <f t="shared" si="0"/>
        <v>55.333333333333336</v>
      </c>
      <c r="M22" s="31" t="str">
        <f t="shared" si="3"/>
        <v>C</v>
      </c>
    </row>
    <row r="23" spans="1:13" ht="15" customHeight="1" x14ac:dyDescent="0.25">
      <c r="A23" s="20" t="s">
        <v>7</v>
      </c>
      <c r="B23" s="8"/>
      <c r="C23" s="8"/>
      <c r="D23" s="8"/>
      <c r="E23" s="8"/>
      <c r="F23" s="1">
        <f>VLOOKUP(C8,'3rd Term'!B9:AN48,10,FALSE)</f>
        <v>14</v>
      </c>
      <c r="G23" s="31">
        <f>VLOOKUP(C8,'3rd Term'!B9:AN48,11,FALSE)</f>
        <v>30</v>
      </c>
      <c r="H23" s="31">
        <f t="shared" si="1"/>
        <v>44</v>
      </c>
      <c r="I23" s="31">
        <f>(VLOOKUP(C8,'2nd Term'!B9:AN48,10,FALSE))+(VLOOKUP(C8,'2nd Term'!B9:AN48,11,FALSE))</f>
        <v>73</v>
      </c>
      <c r="J23" s="31">
        <f>(VLOOKUP($C$8,'1st Term'!$B$9:$AN$48,10,FALSE))+(VLOOKUP($C$8,'1st Term'!$B$9:$AN$48,11,FALSE))</f>
        <v>53</v>
      </c>
      <c r="K23" s="31">
        <f t="shared" si="2"/>
        <v>170</v>
      </c>
      <c r="L23" s="26">
        <f t="shared" si="0"/>
        <v>56.666666666666664</v>
      </c>
      <c r="M23" s="31" t="str">
        <f t="shared" si="3"/>
        <v>C</v>
      </c>
    </row>
    <row r="24" spans="1:13" ht="15" customHeight="1" x14ac:dyDescent="0.25">
      <c r="A24" s="20" t="s">
        <v>8</v>
      </c>
      <c r="B24" s="8"/>
      <c r="C24" s="8"/>
      <c r="D24" s="8"/>
      <c r="E24" s="8"/>
      <c r="F24" s="1">
        <f>VLOOKUP(C8,'3rd Term'!B9:AN48,12,FALSE)</f>
        <v>20</v>
      </c>
      <c r="G24" s="31">
        <f>VLOOKUP(C8,'3rd Term'!B9:AN48,13,FALSE)</f>
        <v>21</v>
      </c>
      <c r="H24" s="31">
        <f t="shared" si="1"/>
        <v>41</v>
      </c>
      <c r="I24" s="31">
        <f>(VLOOKUP(C8,'2nd Term'!B9:AN48,12,FALSE))+(VLOOKUP(C8,'2nd Term'!B9:AN48,13,FALSE))</f>
        <v>64</v>
      </c>
      <c r="J24" s="31">
        <f>(VLOOKUP($C$8,'1st Term'!$B$9:$AN$48,12,FALSE))+(VLOOKUP($C$8,'1st Term'!$B$9:$AN$48,13,FALSE))</f>
        <v>60</v>
      </c>
      <c r="K24" s="31">
        <f t="shared" si="2"/>
        <v>165</v>
      </c>
      <c r="L24" s="26">
        <f t="shared" si="0"/>
        <v>55</v>
      </c>
      <c r="M24" s="31" t="str">
        <f t="shared" si="3"/>
        <v>C</v>
      </c>
    </row>
    <row r="25" spans="1:13" ht="15" customHeight="1" x14ac:dyDescent="0.25">
      <c r="A25" s="20" t="s">
        <v>9</v>
      </c>
      <c r="B25" s="8"/>
      <c r="C25" s="8"/>
      <c r="D25" s="8"/>
      <c r="E25" s="8"/>
      <c r="F25" s="1">
        <f>VLOOKUP(C8,'3rd Term'!B9:AN48,14,FALSE)</f>
        <v>26</v>
      </c>
      <c r="G25" s="31">
        <f>VLOOKUP(C8,'3rd Term'!B9:AN48,15,FALSE)</f>
        <v>24</v>
      </c>
      <c r="H25" s="31">
        <f t="shared" si="1"/>
        <v>50</v>
      </c>
      <c r="I25" s="31">
        <f>(VLOOKUP(C8,'2nd Term'!B9:AN48,14,FALSE))+(VLOOKUP(C8,'2nd Term'!B9:AN48,15,FALSE))</f>
        <v>54</v>
      </c>
      <c r="J25" s="31">
        <f>(VLOOKUP($C$8,'1st Term'!$B$9:$AN$48,14,FALSE))+(VLOOKUP($C$8,'1st Term'!$B$9:$AN$48,15,FALSE))</f>
        <v>56</v>
      </c>
      <c r="K25" s="31">
        <f t="shared" si="2"/>
        <v>160</v>
      </c>
      <c r="L25" s="26">
        <f t="shared" si="0"/>
        <v>53.333333333333336</v>
      </c>
      <c r="M25" s="31" t="str">
        <f t="shared" si="3"/>
        <v>C</v>
      </c>
    </row>
    <row r="26" spans="1:13" ht="15" customHeight="1" x14ac:dyDescent="0.25">
      <c r="A26" s="20" t="s">
        <v>10</v>
      </c>
      <c r="B26" s="8"/>
      <c r="C26" s="8"/>
      <c r="D26" s="8"/>
      <c r="E26" s="8"/>
      <c r="F26" s="1">
        <f>VLOOKUP(C8,'3rd Term'!B9:AN48,16,FALSE)</f>
        <v>22</v>
      </c>
      <c r="G26" s="31">
        <f>VLOOKUP(C8,'3rd Term'!B9:AN48,17,FALSE)</f>
        <v>51</v>
      </c>
      <c r="H26" s="31">
        <f t="shared" si="1"/>
        <v>73</v>
      </c>
      <c r="I26" s="31">
        <f>(VLOOKUP(C8,'2nd Term'!B9:AN48,16,FALSE))+(VLOOKUP(C8,'2nd Term'!B9:AN48,17,FALSE))</f>
        <v>92</v>
      </c>
      <c r="J26" s="31">
        <f>(VLOOKUP($C$8,'1st Term'!$B$9:$AN$48,16,FALSE))+(VLOOKUP($C$8,'1st Term'!$B$9:$AN$48,17,FALSE))</f>
        <v>46</v>
      </c>
      <c r="K26" s="31">
        <f t="shared" si="2"/>
        <v>211</v>
      </c>
      <c r="L26" s="26">
        <f t="shared" si="0"/>
        <v>70.333333333333329</v>
      </c>
      <c r="M26" s="31" t="str">
        <f t="shared" si="3"/>
        <v>A</v>
      </c>
    </row>
    <row r="27" spans="1:13" ht="15" hidden="1" customHeight="1" x14ac:dyDescent="0.25">
      <c r="A27" s="20" t="s">
        <v>11</v>
      </c>
      <c r="B27" s="8"/>
      <c r="C27" s="8"/>
      <c r="D27" s="8"/>
      <c r="E27" s="8"/>
      <c r="F27" s="1">
        <f>VLOOKUP(C8,'3rd Term'!B9:AN48,18,FALSE)</f>
        <v>0</v>
      </c>
      <c r="G27" s="31">
        <f>VLOOKUP(C8,'3rd Term'!B9:AN48,19,FALSE)</f>
        <v>0</v>
      </c>
      <c r="H27" s="31">
        <f t="shared" si="1"/>
        <v>0</v>
      </c>
      <c r="I27" s="31">
        <f>(VLOOKUP(C8,'2nd Term'!B9:AN48,18,FALSE))+(VLOOKUP(C8,'2nd Term'!B9:AN48,19,FALSE))</f>
        <v>0</v>
      </c>
      <c r="J27" s="31">
        <f>(VLOOKUP($C$8,'1st Term'!$B$9:$AN$48,18,FALSE))+(VLOOKUP($C$8,'1st Term'!$B$9:$AN$48,19,FALSE))</f>
        <v>0</v>
      </c>
      <c r="K27" s="31" t="str">
        <f t="shared" si="2"/>
        <v>-</v>
      </c>
      <c r="L27" s="26" t="str">
        <f t="shared" si="0"/>
        <v>-</v>
      </c>
      <c r="M27" s="31" t="str">
        <f t="shared" si="3"/>
        <v>-</v>
      </c>
    </row>
    <row r="28" spans="1:13" ht="15" customHeight="1" x14ac:dyDescent="0.25">
      <c r="A28" s="20" t="s">
        <v>13</v>
      </c>
      <c r="B28" s="8"/>
      <c r="C28" s="8"/>
      <c r="D28" s="8"/>
      <c r="E28" s="8"/>
      <c r="F28" s="1">
        <f>VLOOKUP(C8,'3rd Term'!B9:AN48,20,FALSE)</f>
        <v>22</v>
      </c>
      <c r="G28" s="31">
        <f>VLOOKUP(C8,'3rd Term'!B9:AN48,21,FALSE)</f>
        <v>35</v>
      </c>
      <c r="H28" s="31">
        <f t="shared" si="1"/>
        <v>57</v>
      </c>
      <c r="I28" s="31">
        <f>(VLOOKUP(C8,'2nd Term'!B9:AN48,20,FALSE))+(VLOOKUP(C8,'2nd Term'!B9:AN48,21,FALSE))</f>
        <v>49</v>
      </c>
      <c r="J28" s="31">
        <f>(VLOOKUP($C$8,'1st Term'!$B$9:$AN$48,20,FALSE))+(VLOOKUP($C$8,'1st Term'!$B$9:$AN$48,21,FALSE))</f>
        <v>37</v>
      </c>
      <c r="K28" s="31">
        <f t="shared" si="2"/>
        <v>143</v>
      </c>
      <c r="L28" s="26">
        <f t="shared" si="0"/>
        <v>47.666666666666664</v>
      </c>
      <c r="M28" s="31" t="str">
        <f t="shared" si="3"/>
        <v>P</v>
      </c>
    </row>
    <row r="29" spans="1:13" x14ac:dyDescent="0.25">
      <c r="A29" s="20" t="s">
        <v>14</v>
      </c>
      <c r="B29" s="8"/>
      <c r="C29" s="8"/>
      <c r="D29" s="8"/>
      <c r="E29" s="8"/>
      <c r="F29" s="1">
        <f>VLOOKUP(C8,'3rd Term'!B9:AN48,22,FALSE)</f>
        <v>16</v>
      </c>
      <c r="G29" s="31">
        <f>VLOOKUP(C8,'3rd Term'!B9:AN48,23,FALSE)</f>
        <v>27</v>
      </c>
      <c r="H29" s="31">
        <f t="shared" si="1"/>
        <v>43</v>
      </c>
      <c r="I29" s="31">
        <f>(VLOOKUP(C8,'2nd Term'!B9:AN48,22,FALSE))+(VLOOKUP(C8,'2nd Term'!B9:AN48,23,FALSE))</f>
        <v>84</v>
      </c>
      <c r="J29" s="31">
        <f>(VLOOKUP($C$8,'1st Term'!$B$9:$AN$48,22,FALSE))+(VLOOKUP($C$8,'1st Term'!$B$9:$AN$48,23,FALSE))</f>
        <v>75</v>
      </c>
      <c r="K29" s="31">
        <f t="shared" si="2"/>
        <v>202</v>
      </c>
      <c r="L29" s="26">
        <f t="shared" si="0"/>
        <v>67.333333333333329</v>
      </c>
      <c r="M29" s="31" t="str">
        <f t="shared" si="3"/>
        <v>C</v>
      </c>
    </row>
    <row r="30" spans="1:13" x14ac:dyDescent="0.25">
      <c r="A30" s="20" t="s">
        <v>15</v>
      </c>
      <c r="B30" s="8"/>
      <c r="C30" s="8"/>
      <c r="D30" s="8"/>
      <c r="E30" s="8"/>
      <c r="F30" s="1">
        <f>VLOOKUP(C8,'3rd Term'!B9:AN48,24,FALSE)</f>
        <v>18</v>
      </c>
      <c r="G30" s="31">
        <f>VLOOKUP(C8,'3rd Term'!B9:AN48,25,FALSE)</f>
        <v>23</v>
      </c>
      <c r="H30" s="31">
        <f t="shared" si="1"/>
        <v>41</v>
      </c>
      <c r="I30" s="31">
        <f>(VLOOKUP(C8,'2nd Term'!B9:AN48,24,FALSE))+(VLOOKUP(C8,'2nd Term'!B9:AN48,25,FALSE))</f>
        <v>70</v>
      </c>
      <c r="J30" s="31">
        <f>(VLOOKUP($C$8,'1st Term'!$B$9:$AN$48,24,FALSE))+(VLOOKUP($C$8,'1st Term'!$B$9:$AN$48,25,FALSE))</f>
        <v>75</v>
      </c>
      <c r="K30" s="31">
        <f t="shared" si="2"/>
        <v>186</v>
      </c>
      <c r="L30" s="26">
        <f t="shared" si="0"/>
        <v>62</v>
      </c>
      <c r="M30" s="31" t="str">
        <f t="shared" si="3"/>
        <v>C</v>
      </c>
    </row>
    <row r="31" spans="1:13" hidden="1" x14ac:dyDescent="0.25">
      <c r="A31" s="20" t="s">
        <v>22</v>
      </c>
      <c r="B31" s="8"/>
      <c r="C31" s="8"/>
      <c r="D31" s="8"/>
      <c r="E31" s="8"/>
      <c r="F31" s="1">
        <f>VLOOKUP(C8,'3rd Term'!B9:AN48,26,FALSE)</f>
        <v>0</v>
      </c>
      <c r="G31" s="31">
        <f>VLOOKUP(C8,'3rd Term'!B9:AN48,27,FALSE)</f>
        <v>0</v>
      </c>
      <c r="H31" s="31">
        <f t="shared" si="1"/>
        <v>0</v>
      </c>
      <c r="I31" s="31">
        <f>(VLOOKUP(C8,'2nd Term'!B9:AN48,26,FALSE))+(VLOOKUP(C8,'2nd Term'!B9:AN48,27,FALSE))</f>
        <v>0</v>
      </c>
      <c r="J31" s="31">
        <f>(VLOOKUP($C$8,'1st Term'!$B$9:$AN$48,26,FALSE))+(VLOOKUP($C$8,'1st Term'!$B$9:$AN$48,27,FALSE))</f>
        <v>0</v>
      </c>
      <c r="K31" s="31" t="str">
        <f t="shared" si="2"/>
        <v>-</v>
      </c>
      <c r="L31" s="26" t="str">
        <f t="shared" si="0"/>
        <v>-</v>
      </c>
      <c r="M31" s="31" t="str">
        <f t="shared" si="3"/>
        <v>-</v>
      </c>
    </row>
    <row r="32" spans="1:13" x14ac:dyDescent="0.25">
      <c r="A32" s="20" t="s">
        <v>16</v>
      </c>
      <c r="B32" s="8"/>
      <c r="C32" s="8"/>
      <c r="D32" s="8"/>
      <c r="E32" s="8"/>
      <c r="F32" s="1">
        <f>VLOOKUP(C8,'3rd Term'!B9:AN48,28,FALSE)</f>
        <v>19</v>
      </c>
      <c r="G32" s="31">
        <f>VLOOKUP(C8,'3rd Term'!B9:AN48,29,FALSE)</f>
        <v>24</v>
      </c>
      <c r="H32" s="31">
        <f t="shared" si="1"/>
        <v>43</v>
      </c>
      <c r="I32" s="31">
        <f>(VLOOKUP(C8,'2nd Term'!B9:AN48,28,FALSE))+(VLOOKUP(C8,'2nd Term'!B9:AN48,29,FALSE))</f>
        <v>52</v>
      </c>
      <c r="J32" s="31">
        <f>(VLOOKUP($C$8,'1st Term'!$B$9:$AN$48,28,FALSE))+(VLOOKUP($C$8,'1st Term'!$B$9:$AN$48,29,FALSE))</f>
        <v>79</v>
      </c>
      <c r="K32" s="31">
        <f t="shared" si="2"/>
        <v>174</v>
      </c>
      <c r="L32" s="26">
        <f t="shared" si="0"/>
        <v>58</v>
      </c>
      <c r="M32" s="31" t="str">
        <f t="shared" si="3"/>
        <v>C</v>
      </c>
    </row>
    <row r="33" spans="1:13" x14ac:dyDescent="0.25">
      <c r="A33" s="20" t="s">
        <v>17</v>
      </c>
      <c r="B33" s="8"/>
      <c r="C33" s="8"/>
      <c r="D33" s="8"/>
      <c r="E33" s="8"/>
      <c r="F33" s="1">
        <f>VLOOKUP(C8,'3rd Term'!B9:AN48,30,FALSE)</f>
        <v>29</v>
      </c>
      <c r="G33" s="31">
        <f>VLOOKUP(C8,'3rd Term'!B9:AN48,31,FALSE)</f>
        <v>28</v>
      </c>
      <c r="H33" s="31">
        <f t="shared" si="1"/>
        <v>57</v>
      </c>
      <c r="I33" s="31">
        <f>(VLOOKUP(C8,'2nd Term'!B9:AN48,30,FALSE))+(VLOOKUP(C8,'2nd Term'!B9:AN48,31,FALSE))</f>
        <v>94</v>
      </c>
      <c r="J33" s="31">
        <f>(VLOOKUP($C$8,'1st Term'!$B$9:$AN$48,30,FALSE))+(VLOOKUP($C$8,'1st Term'!$B$9:$AN$48,31,FALSE))</f>
        <v>85</v>
      </c>
      <c r="K33" s="31">
        <f t="shared" si="2"/>
        <v>236</v>
      </c>
      <c r="L33" s="26">
        <f t="shared" si="0"/>
        <v>78.666666666666671</v>
      </c>
      <c r="M33" s="31" t="str">
        <f t="shared" si="3"/>
        <v>A</v>
      </c>
    </row>
    <row r="34" spans="1:13" x14ac:dyDescent="0.25">
      <c r="A34" s="20" t="s">
        <v>18</v>
      </c>
      <c r="B34" s="8"/>
      <c r="C34" s="8"/>
      <c r="D34" s="8"/>
      <c r="E34" s="8"/>
      <c r="F34" s="1">
        <f>VLOOKUP(C8,'3rd Term'!B9:AN48,32,FALSE)</f>
        <v>20</v>
      </c>
      <c r="G34" s="31">
        <f>VLOOKUP(C8,'3rd Term'!B9:AN48,33,FALSE)</f>
        <v>36</v>
      </c>
      <c r="H34" s="31">
        <f t="shared" si="1"/>
        <v>56</v>
      </c>
      <c r="I34" s="31">
        <f>(VLOOKUP(C8,'2nd Term'!B9:AN48,32,FALSE))+(VLOOKUP(C8,'2nd Term'!B9:AN48,33,FALSE))</f>
        <v>94</v>
      </c>
      <c r="J34" s="31">
        <f>(VLOOKUP($C$8,'1st Term'!$B$9:$AN$48,32,FALSE))+(VLOOKUP($C$8,'1st Term'!$B$9:$AN$48,33,FALSE))</f>
        <v>82</v>
      </c>
      <c r="K34" s="31">
        <f t="shared" si="2"/>
        <v>232</v>
      </c>
      <c r="L34" s="26">
        <f t="shared" si="0"/>
        <v>77.333333333333329</v>
      </c>
      <c r="M34" s="31" t="str">
        <f t="shared" si="3"/>
        <v>A</v>
      </c>
    </row>
    <row r="35" spans="1:13" x14ac:dyDescent="0.25">
      <c r="A35" s="20" t="s">
        <v>19</v>
      </c>
      <c r="B35" s="8"/>
      <c r="C35" s="8"/>
      <c r="D35" s="8"/>
      <c r="E35" s="8"/>
      <c r="F35" s="1">
        <f>VLOOKUP(C8,'3rd Term'!B9:AN48,34,FALSE)</f>
        <v>20</v>
      </c>
      <c r="G35" s="31">
        <f>VLOOKUP(C8,'3rd Term'!B9:AN48,35,FALSE)</f>
        <v>20</v>
      </c>
      <c r="H35" s="31">
        <f t="shared" si="1"/>
        <v>40</v>
      </c>
      <c r="I35" s="31">
        <f>(VLOOKUP(C8,'2nd Term'!B9:AN48,34,FALSE))+(VLOOKUP(C8,'2nd Term'!B9:AN48,35,FALSE))</f>
        <v>60</v>
      </c>
      <c r="J35" s="31">
        <f>(VLOOKUP($C$8,'1st Term'!$B$9:$AN$48,34,FALSE))+(VLOOKUP($C$8,'1st Term'!$B$9:$AN$48,35,FALSE))</f>
        <v>53</v>
      </c>
      <c r="K35" s="31">
        <f t="shared" si="2"/>
        <v>153</v>
      </c>
      <c r="L35" s="26">
        <f t="shared" si="0"/>
        <v>51</v>
      </c>
      <c r="M35" s="31" t="str">
        <f t="shared" si="3"/>
        <v>C</v>
      </c>
    </row>
    <row r="36" spans="1:13" x14ac:dyDescent="0.25">
      <c r="A36" s="20" t="s">
        <v>20</v>
      </c>
      <c r="B36" s="8"/>
      <c r="C36" s="8"/>
      <c r="D36" s="8"/>
      <c r="E36" s="8"/>
      <c r="F36" s="1">
        <f>VLOOKUP(C8,'3rd Term'!B9:AN48,36,FALSE)</f>
        <v>24</v>
      </c>
      <c r="G36" s="31">
        <f>VLOOKUP(C8,'3rd Term'!B9:AN48,37,FALSE)</f>
        <v>35</v>
      </c>
      <c r="H36" s="31">
        <f t="shared" si="1"/>
        <v>59</v>
      </c>
      <c r="I36" s="31">
        <f>(VLOOKUP(C8,'2nd Term'!B9:AN48,36,FALSE))+(VLOOKUP(C8,'2nd Term'!B9:AN48,37,FALSE))</f>
        <v>76</v>
      </c>
      <c r="J36" s="31">
        <f>(VLOOKUP($C$8,'1st Term'!$B$9:$AN$48,36,FALSE))+(VLOOKUP($C$8,'1st Term'!$B$9:$AN$48,37,FALSE))</f>
        <v>61</v>
      </c>
      <c r="K36" s="31">
        <f t="shared" si="2"/>
        <v>196</v>
      </c>
      <c r="L36" s="26">
        <f t="shared" si="0"/>
        <v>65.333333333333329</v>
      </c>
      <c r="M36" s="31" t="str">
        <f t="shared" si="3"/>
        <v>C</v>
      </c>
    </row>
    <row r="37" spans="1:13" x14ac:dyDescent="0.25">
      <c r="A37" s="18" t="s">
        <v>21</v>
      </c>
      <c r="B37" s="7"/>
      <c r="C37" s="7"/>
      <c r="D37" s="7"/>
      <c r="E37" s="7"/>
      <c r="F37" s="57">
        <f>VLOOKUP(C8,'3rd Term'!B9:AN48,38,FALSE)</f>
        <v>15</v>
      </c>
      <c r="G37" s="31">
        <f>VLOOKUP(C8,'3rd Term'!B9:AN48,39,FALSE)</f>
        <v>15</v>
      </c>
      <c r="H37" s="31">
        <f t="shared" si="1"/>
        <v>30</v>
      </c>
      <c r="I37" s="31">
        <f>(VLOOKUP(C8,'2nd Term'!B9:AN48,38,FALSE))+(VLOOKUP(C8,'2nd Term'!B9:AN48,39,FALSE))</f>
        <v>76</v>
      </c>
      <c r="J37" s="31">
        <f>(VLOOKUP($C$8,'1st Term'!$B$9:$AN$48,38,FALSE))+(VLOOKUP($C$8,'1st Term'!$B$9:$AN$48,39,FALSE))</f>
        <v>63</v>
      </c>
      <c r="K37" s="31">
        <f t="shared" si="2"/>
        <v>169</v>
      </c>
      <c r="L37" s="26">
        <f t="shared" si="0"/>
        <v>56.333333333333336</v>
      </c>
      <c r="M37" s="31" t="str">
        <f t="shared" si="3"/>
        <v>C</v>
      </c>
    </row>
    <row r="43" spans="1:13" x14ac:dyDescent="0.25">
      <c r="G43" s="110" t="s">
        <v>62</v>
      </c>
      <c r="H43" s="110"/>
      <c r="I43" s="110"/>
      <c r="J43" s="110"/>
      <c r="K43" s="110"/>
      <c r="L43" s="110"/>
      <c r="M43" s="110"/>
    </row>
    <row r="44" spans="1:13" x14ac:dyDescent="0.25">
      <c r="A44" s="77" t="s">
        <v>58</v>
      </c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</row>
    <row r="45" spans="1:13" ht="12.75" customHeight="1" x14ac:dyDescent="0.25">
      <c r="A45" s="50" t="str">
        <f>VLOOKUP(C8,comments!B8:X47,7,0)</f>
        <v>She is improving gradually but needs to participate more in class discussions.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</row>
    <row r="46" spans="1:13" x14ac:dyDescent="0.25">
      <c r="A46" s="50"/>
      <c r="B46" s="50"/>
      <c r="C46" s="50"/>
      <c r="D46" s="50"/>
      <c r="E46" s="50"/>
      <c r="F46" s="78"/>
      <c r="G46" s="78"/>
      <c r="H46" s="78"/>
      <c r="I46" s="78"/>
      <c r="J46" s="78"/>
      <c r="K46" s="78"/>
      <c r="L46" s="78"/>
      <c r="M46" s="78"/>
    </row>
    <row r="47" spans="1:13" x14ac:dyDescent="0.25">
      <c r="A47" s="79" t="s">
        <v>60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</row>
    <row r="48" spans="1:13" ht="12" customHeight="1" x14ac:dyDescent="0.25">
      <c r="A48" s="50" t="str">
        <f>VLOOKUP(C8,comments!B8:X47,14,0)</f>
        <v>Just fair. You can improve if only you will be more regular at school next term. Promoted to the Next Class.</v>
      </c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</row>
    <row r="49" spans="1:13" x14ac:dyDescent="0.25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</row>
    <row r="50" spans="1:13" x14ac:dyDescent="0.25">
      <c r="A50" s="79" t="s">
        <v>59</v>
      </c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</row>
    <row r="51" spans="1:13" ht="12" customHeight="1" x14ac:dyDescent="0.25">
      <c r="A51" s="78" t="s">
        <v>61</v>
      </c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</row>
  </sheetData>
  <sheetProtection algorithmName="SHA-512" hashValue="SHCwe5IHWDcOxlUsSwtYyHTfaC8W5ZXZIZJ2vZFTtvVZ2/vDwqYIqVkUDOkaqdgK7qZkEXsxa+rZwRYmeLP6rw==" saltValue="wJi/hw1waDasMpPG1kAPew==" spinCount="100000" sheet="1" scenarios="1"/>
  <mergeCells count="13">
    <mergeCell ref="I14:I17"/>
    <mergeCell ref="A18:B18"/>
    <mergeCell ref="G43:M43"/>
    <mergeCell ref="B1:M2"/>
    <mergeCell ref="B3:M3"/>
    <mergeCell ref="B4:M4"/>
    <mergeCell ref="B5:M6"/>
    <mergeCell ref="K7:M12"/>
    <mergeCell ref="A8:B8"/>
    <mergeCell ref="A9:B9"/>
    <mergeCell ref="A10:B10"/>
    <mergeCell ref="A11:B11"/>
    <mergeCell ref="A12:B12"/>
  </mergeCells>
  <conditionalFormatting sqref="M19:M37">
    <cfRule type="cellIs" dxfId="14" priority="3" operator="equal">
      <formula>"F"</formula>
    </cfRule>
    <cfRule type="cellIs" dxfId="13" priority="4" operator="equal">
      <formula>"P"</formula>
    </cfRule>
    <cfRule type="cellIs" dxfId="12" priority="5" operator="equal">
      <formula>"C"</formula>
    </cfRule>
    <cfRule type="cellIs" dxfId="11" priority="6" operator="equal">
      <formula>"A"</formula>
    </cfRule>
  </conditionalFormatting>
  <conditionalFormatting sqref="F19:J37">
    <cfRule type="cellIs" dxfId="10" priority="1" operator="equal">
      <formula>0</formula>
    </cfRule>
    <cfRule type="colorScale" priority="2">
      <colorScale>
        <cfvo type="min"/>
        <cfvo type="num" val="0"/>
        <color rgb="FFFF7128"/>
        <color theme="0"/>
      </colorScale>
    </cfRule>
  </conditionalFormatting>
  <dataValidations count="1">
    <dataValidation type="list" allowBlank="1" showInputMessage="1" showErrorMessage="1" sqref="M14:M17" xr:uid="{0E0E5DA7-B764-4F32-A9C3-B4DF6F9784FE}">
      <formula1>"A,B,C,D,E"</formula1>
    </dataValidation>
  </dataValidations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23B8E-5BC9-4D4E-A664-E12FB7DF4C24}">
  <sheetPr>
    <tabColor rgb="FF7030A0"/>
  </sheetPr>
  <dimension ref="A1:M51"/>
  <sheetViews>
    <sheetView workbookViewId="0">
      <selection activeCell="P14" sqref="P14"/>
    </sheetView>
  </sheetViews>
  <sheetFormatPr defaultRowHeight="15" x14ac:dyDescent="0.25"/>
  <cols>
    <col min="3" max="3" width="8.140625" customWidth="1"/>
    <col min="4" max="4" width="9.42578125" customWidth="1"/>
    <col min="5" max="5" width="10.5703125" customWidth="1"/>
    <col min="6" max="6" width="6.28515625" customWidth="1"/>
    <col min="7" max="8" width="5.85546875" customWidth="1"/>
    <col min="9" max="9" width="5.5703125" customWidth="1"/>
    <col min="10" max="11" width="5.28515625" customWidth="1"/>
    <col min="12" max="12" width="6.28515625" customWidth="1"/>
    <col min="13" max="13" width="5.7109375" customWidth="1"/>
  </cols>
  <sheetData>
    <row r="1" spans="1:13" ht="15" customHeight="1" x14ac:dyDescent="0.25">
      <c r="A1" s="10"/>
      <c r="B1" s="116" t="s">
        <v>185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</row>
    <row r="2" spans="1:13" ht="15" customHeight="1" x14ac:dyDescent="0.25">
      <c r="A2" s="10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</row>
    <row r="3" spans="1:13" ht="15.75" x14ac:dyDescent="0.25">
      <c r="A3" s="10"/>
      <c r="B3" s="117" t="s">
        <v>184</v>
      </c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</row>
    <row r="4" spans="1:13" ht="15.75" x14ac:dyDescent="0.25">
      <c r="A4" s="10"/>
      <c r="B4" s="118" t="s">
        <v>186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</row>
    <row r="5" spans="1:13" ht="15" customHeight="1" x14ac:dyDescent="0.25">
      <c r="A5" s="10"/>
      <c r="B5" s="119" t="s">
        <v>36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</row>
    <row r="6" spans="1:13" ht="15" customHeight="1" x14ac:dyDescent="0.25">
      <c r="A6" s="10"/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</row>
    <row r="7" spans="1:13" ht="15" customHeight="1" x14ac:dyDescent="0.25">
      <c r="I7" s="10"/>
      <c r="J7" s="10"/>
      <c r="K7" s="122" t="s">
        <v>105</v>
      </c>
      <c r="L7" s="122"/>
      <c r="M7" s="122"/>
    </row>
    <row r="8" spans="1:13" x14ac:dyDescent="0.25">
      <c r="A8" s="120" t="s">
        <v>37</v>
      </c>
      <c r="B8" s="120"/>
      <c r="C8" s="29" t="str">
        <f>('1st Term'!B29)</f>
        <v>VICTOR LOVETH</v>
      </c>
      <c r="D8" s="8"/>
      <c r="E8" s="8"/>
      <c r="F8" s="8"/>
      <c r="G8" s="8"/>
      <c r="H8" s="9"/>
      <c r="I8" s="10"/>
      <c r="J8" s="10"/>
      <c r="K8" s="122"/>
      <c r="L8" s="122"/>
      <c r="M8" s="122"/>
    </row>
    <row r="9" spans="1:13" x14ac:dyDescent="0.25">
      <c r="A9" s="121" t="s">
        <v>38</v>
      </c>
      <c r="B9" s="115"/>
      <c r="C9" s="29" t="str">
        <f>('1st Term'!B7)</f>
        <v>JSS 1A</v>
      </c>
      <c r="D9" s="8"/>
      <c r="E9" s="8"/>
      <c r="F9" s="8"/>
      <c r="G9" s="8"/>
      <c r="H9" s="9"/>
      <c r="I9" s="10"/>
      <c r="J9" s="10"/>
      <c r="K9" s="122"/>
      <c r="L9" s="122"/>
      <c r="M9" s="122"/>
    </row>
    <row r="10" spans="1:13" x14ac:dyDescent="0.25">
      <c r="A10" s="121" t="s">
        <v>39</v>
      </c>
      <c r="B10" s="115"/>
      <c r="C10" s="29" t="str">
        <f>(comments!C4)</f>
        <v>2025/2026</v>
      </c>
      <c r="D10" s="8"/>
      <c r="E10" s="8"/>
      <c r="F10" s="43"/>
      <c r="G10" s="43"/>
      <c r="H10" s="9"/>
      <c r="I10" s="10"/>
      <c r="J10" s="10"/>
      <c r="K10" s="122"/>
      <c r="L10" s="122"/>
      <c r="M10" s="122"/>
    </row>
    <row r="11" spans="1:13" x14ac:dyDescent="0.25">
      <c r="A11" s="121" t="s">
        <v>40</v>
      </c>
      <c r="B11" s="115"/>
      <c r="C11" s="30" t="str">
        <f>(comments!B5)</f>
        <v>THIRD TERM</v>
      </c>
      <c r="D11" s="7"/>
      <c r="E11" s="7"/>
      <c r="F11" s="13" t="s">
        <v>167</v>
      </c>
      <c r="G11" s="8"/>
      <c r="H11" s="53">
        <f>INDEX(comments!D8:D47,MATCH(sheet21!C8,comments!B8:B47,0))</f>
        <v>61.764705882352935</v>
      </c>
      <c r="I11" s="10"/>
      <c r="J11" s="10"/>
      <c r="K11" s="122"/>
      <c r="L11" s="122"/>
      <c r="M11" s="122"/>
    </row>
    <row r="12" spans="1:13" x14ac:dyDescent="0.25">
      <c r="A12" s="114" t="s">
        <v>41</v>
      </c>
      <c r="B12" s="115"/>
      <c r="C12" s="30" t="str">
        <f>(comments!E6)</f>
        <v>20TH APRIL 2026</v>
      </c>
      <c r="D12" s="7"/>
      <c r="E12" s="7"/>
      <c r="F12" s="13" t="s">
        <v>44</v>
      </c>
      <c r="G12" s="8"/>
      <c r="H12" s="51" t="str">
        <f>INDEX(comments!E8:E47,MATCH(sheet21!C8,comments!B8:B47,0))</f>
        <v>5th</v>
      </c>
      <c r="I12" s="10"/>
      <c r="J12" s="10"/>
      <c r="K12" s="123"/>
      <c r="L12" s="123"/>
      <c r="M12" s="123"/>
    </row>
    <row r="13" spans="1:13" x14ac:dyDescent="0.25">
      <c r="A13" s="48"/>
      <c r="B13" s="49"/>
      <c r="C13" s="50"/>
      <c r="F13" s="25"/>
      <c r="H13" s="52"/>
      <c r="I13" s="10"/>
      <c r="J13" s="10"/>
      <c r="K13" s="54"/>
      <c r="L13" s="54"/>
      <c r="M13" s="54"/>
    </row>
    <row r="14" spans="1:13" ht="16.5" customHeight="1" x14ac:dyDescent="0.25">
      <c r="A14" s="16" t="s">
        <v>48</v>
      </c>
      <c r="B14" s="8"/>
      <c r="C14" s="8"/>
      <c r="D14" s="13" t="s">
        <v>49</v>
      </c>
      <c r="E14" s="8"/>
      <c r="F14" s="8"/>
      <c r="G14" s="8"/>
      <c r="H14" s="15"/>
      <c r="I14" s="113" t="s">
        <v>50</v>
      </c>
      <c r="J14" s="45" t="s">
        <v>32</v>
      </c>
      <c r="K14" s="44"/>
      <c r="L14" s="17"/>
      <c r="M14" s="44" t="s">
        <v>52</v>
      </c>
    </row>
    <row r="15" spans="1:13" ht="21" customHeight="1" x14ac:dyDescent="0.25">
      <c r="A15" s="11" t="s">
        <v>46</v>
      </c>
      <c r="B15" s="7"/>
      <c r="C15" s="7"/>
      <c r="D15" s="55">
        <f>(comments!C6)</f>
        <v>110</v>
      </c>
      <c r="E15" s="8"/>
      <c r="F15" s="8"/>
      <c r="G15" s="8"/>
      <c r="H15" s="14"/>
      <c r="I15" s="113"/>
      <c r="J15" s="45" t="s">
        <v>33</v>
      </c>
      <c r="K15" s="44"/>
      <c r="L15" s="17"/>
      <c r="M15" s="44" t="s">
        <v>51</v>
      </c>
    </row>
    <row r="16" spans="1:13" ht="18.75" customHeight="1" x14ac:dyDescent="0.25">
      <c r="A16" s="12" t="s">
        <v>47</v>
      </c>
      <c r="B16" s="8"/>
      <c r="C16" s="8"/>
      <c r="D16" s="56">
        <f>VLOOKUP(C8,comments!B8:C47,2,FALSE)</f>
        <v>0</v>
      </c>
      <c r="E16" s="8"/>
      <c r="F16" s="8"/>
      <c r="G16" s="8"/>
      <c r="H16" s="14"/>
      <c r="I16" s="113"/>
      <c r="J16" s="45" t="s">
        <v>34</v>
      </c>
      <c r="K16" s="44"/>
      <c r="L16" s="17"/>
      <c r="M16" s="44" t="s">
        <v>51</v>
      </c>
    </row>
    <row r="17" spans="1:13" ht="17.25" customHeight="1" x14ac:dyDescent="0.25">
      <c r="A17" s="11" t="s">
        <v>45</v>
      </c>
      <c r="B17" s="7"/>
      <c r="C17" s="7"/>
      <c r="D17" s="56">
        <f>(comments!D6)</f>
        <v>22</v>
      </c>
      <c r="E17" s="8"/>
      <c r="F17" s="8"/>
      <c r="G17" s="8"/>
      <c r="H17" s="14"/>
      <c r="I17" s="113"/>
      <c r="J17" s="47" t="s">
        <v>35</v>
      </c>
      <c r="K17" s="46"/>
      <c r="L17" s="40"/>
      <c r="M17" s="44" t="s">
        <v>52</v>
      </c>
    </row>
    <row r="18" spans="1:13" ht="61.5" customHeight="1" x14ac:dyDescent="0.25">
      <c r="A18" s="111" t="s">
        <v>53</v>
      </c>
      <c r="B18" s="112"/>
      <c r="C18" s="19"/>
      <c r="D18" s="19"/>
      <c r="E18" s="19"/>
      <c r="F18" s="41" t="s">
        <v>172</v>
      </c>
      <c r="G18" s="41" t="s">
        <v>171</v>
      </c>
      <c r="H18" s="41" t="s">
        <v>173</v>
      </c>
      <c r="I18" s="42" t="s">
        <v>174</v>
      </c>
      <c r="J18" s="42" t="s">
        <v>175</v>
      </c>
      <c r="K18" s="41" t="s">
        <v>165</v>
      </c>
      <c r="L18" s="41" t="s">
        <v>166</v>
      </c>
      <c r="M18" s="41" t="s">
        <v>54</v>
      </c>
    </row>
    <row r="19" spans="1:13" ht="15" customHeight="1" x14ac:dyDescent="0.25">
      <c r="A19" s="20" t="s">
        <v>6</v>
      </c>
      <c r="B19" s="8"/>
      <c r="C19" s="8"/>
      <c r="D19" s="8"/>
      <c r="E19" s="8"/>
      <c r="F19" s="31">
        <f>VLOOKUP(C8,'3rd Term'!B9:AN48,2,FALSE)</f>
        <v>19</v>
      </c>
      <c r="G19" s="31">
        <f>VLOOKUP(C8,'3rd Term'!B9:AN48,3,FALSE)</f>
        <v>50</v>
      </c>
      <c r="H19" s="31">
        <f>SUM(F19:G19)</f>
        <v>69</v>
      </c>
      <c r="I19" s="5">
        <f>(VLOOKUP(C8,'2nd Term'!B9:AN48,2,FALSE))+(VLOOKUP(C8,'2nd Term'!B9:AN48,3,FALSE))</f>
        <v>90</v>
      </c>
      <c r="J19" s="31">
        <f>(VLOOKUP($C$8,'1st Term'!$B$9:$AN$48,2,FALSE))+(VLOOKUP($C$8,'1st Term'!$B$9:$AN$48,3,FALSE))</f>
        <v>90</v>
      </c>
      <c r="K19" s="31">
        <f>IF(SUM(H19:J19)=0,"-",SUM(H19:J19))</f>
        <v>249</v>
      </c>
      <c r="L19" s="26">
        <f t="shared" ref="L19:L37" si="0">IFERROR(((H19)+(I19)+(J19))/((--(H19&gt;0))+(--(I19&gt;0))+(--(J19&gt;0))),"-")</f>
        <v>83</v>
      </c>
      <c r="M19" s="31" t="str">
        <f>IF(L19="-","-",IF(L19&gt;=70,"A",IF(L19&gt;=50,"C",IF(L19&gt;=40,"P","F"))))</f>
        <v>A</v>
      </c>
    </row>
    <row r="20" spans="1:13" ht="15" customHeight="1" x14ac:dyDescent="0.25">
      <c r="A20" s="20" t="s">
        <v>3</v>
      </c>
      <c r="B20" s="8"/>
      <c r="C20" s="8"/>
      <c r="D20" s="8"/>
      <c r="E20" s="8"/>
      <c r="F20" s="1">
        <f>VLOOKUP(C8,'3rd Term'!B9:AN48,4,FALSE)</f>
        <v>17</v>
      </c>
      <c r="G20" s="31">
        <f>VLOOKUP(C8,'3rd Term'!B9:AN48,5,FALSE)</f>
        <v>19</v>
      </c>
      <c r="H20" s="31">
        <f t="shared" ref="H20:H37" si="1">SUM(F20:G20)</f>
        <v>36</v>
      </c>
      <c r="I20" s="31">
        <f>(VLOOKUP(C8,'2nd Term'!B9:AN48,4,FALSE))+(VLOOKUP(C8,'2nd Term'!B9:AN48,5,FALSE))</f>
        <v>88</v>
      </c>
      <c r="J20" s="31">
        <f>(VLOOKUP($C$8,'1st Term'!$B$9:$AN$48,4,FALSE))+(VLOOKUP($C$8,'1st Term'!$B$9:$AN$48,5,FALSE))</f>
        <v>74</v>
      </c>
      <c r="K20" s="31">
        <f t="shared" ref="K20:K37" si="2">IF(SUM(H20:J20)=0,"-",SUM(H20:J20))</f>
        <v>198</v>
      </c>
      <c r="L20" s="26">
        <f t="shared" si="0"/>
        <v>66</v>
      </c>
      <c r="M20" s="31" t="str">
        <f t="shared" ref="M20:M37" si="3">IF(L20="-","-",IF(L20&gt;=70,"A",IF(L20&gt;=50,"C",IF(L20&gt;=40,"P","F"))))</f>
        <v>C</v>
      </c>
    </row>
    <row r="21" spans="1:13" ht="15" customHeight="1" x14ac:dyDescent="0.25">
      <c r="A21" s="20" t="s">
        <v>4</v>
      </c>
      <c r="B21" s="8"/>
      <c r="C21" s="8"/>
      <c r="D21" s="8"/>
      <c r="E21" s="8"/>
      <c r="F21" s="1">
        <f>VLOOKUP(C8,'3rd Term'!B9:AN48,6,FALSE)</f>
        <v>16</v>
      </c>
      <c r="G21" s="31">
        <f>VLOOKUP(C8,'3rd Term'!B9:AN48,7,FALSE)</f>
        <v>31</v>
      </c>
      <c r="H21" s="31">
        <f t="shared" si="1"/>
        <v>47</v>
      </c>
      <c r="I21" s="31">
        <f>(VLOOKUP(C8,'2nd Term'!B9:AN48,6,FALSE))+(VLOOKUP(C8,'2nd Term'!B9:AN48,7,FALSE))</f>
        <v>94</v>
      </c>
      <c r="J21" s="31">
        <f>(VLOOKUP($C$8,'1st Term'!$B$9:$AN$48,6,FALSE))+(VLOOKUP($C$8,'1st Term'!$B$9:$AN$48,7,FALSE))</f>
        <v>82</v>
      </c>
      <c r="K21" s="31">
        <f t="shared" si="2"/>
        <v>223</v>
      </c>
      <c r="L21" s="26">
        <f t="shared" si="0"/>
        <v>74.333333333333329</v>
      </c>
      <c r="M21" s="31" t="str">
        <f t="shared" si="3"/>
        <v>A</v>
      </c>
    </row>
    <row r="22" spans="1:13" ht="15" customHeight="1" x14ac:dyDescent="0.25">
      <c r="A22" s="20" t="s">
        <v>5</v>
      </c>
      <c r="B22" s="8"/>
      <c r="C22" s="8"/>
      <c r="D22" s="8"/>
      <c r="E22" s="8"/>
      <c r="F22" s="1">
        <f>VLOOKUP(C8,'3rd Term'!B9:AN48,8,FALSE)</f>
        <v>21</v>
      </c>
      <c r="G22" s="31">
        <f>VLOOKUP(C8,'3rd Term'!B9:AN48,9,FALSE)</f>
        <v>37</v>
      </c>
      <c r="H22" s="31">
        <f t="shared" si="1"/>
        <v>58</v>
      </c>
      <c r="I22" s="31">
        <f>(VLOOKUP(C8,'2nd Term'!B9:AN48,8,FALSE))+(VLOOKUP(C8,'2nd Term'!B9:AN48,9,FALSE))</f>
        <v>65</v>
      </c>
      <c r="J22" s="31">
        <f>(VLOOKUP($C$8,'1st Term'!$B$9:$AN$48,8,FALSE))+(VLOOKUP($C$8,'1st Term'!$B$9:$AN$48,9,FALSE))</f>
        <v>55</v>
      </c>
      <c r="K22" s="31">
        <f t="shared" si="2"/>
        <v>178</v>
      </c>
      <c r="L22" s="26">
        <f t="shared" si="0"/>
        <v>59.333333333333336</v>
      </c>
      <c r="M22" s="31" t="str">
        <f t="shared" si="3"/>
        <v>C</v>
      </c>
    </row>
    <row r="23" spans="1:13" ht="15" customHeight="1" x14ac:dyDescent="0.25">
      <c r="A23" s="20" t="s">
        <v>7</v>
      </c>
      <c r="B23" s="8"/>
      <c r="C23" s="8"/>
      <c r="D23" s="8"/>
      <c r="E23" s="8"/>
      <c r="F23" s="1">
        <f>VLOOKUP(C8,'3rd Term'!B9:AN48,10,FALSE)</f>
        <v>15</v>
      </c>
      <c r="G23" s="31">
        <f>VLOOKUP(C8,'3rd Term'!B9:AN48,11,FALSE)</f>
        <v>30</v>
      </c>
      <c r="H23" s="31">
        <f t="shared" si="1"/>
        <v>45</v>
      </c>
      <c r="I23" s="31">
        <f>(VLOOKUP(C8,'2nd Term'!B9:AN48,10,FALSE))+(VLOOKUP(C8,'2nd Term'!B9:AN48,11,FALSE))</f>
        <v>92</v>
      </c>
      <c r="J23" s="31">
        <f>(VLOOKUP($C$8,'1st Term'!$B$9:$AN$48,10,FALSE))+(VLOOKUP($C$8,'1st Term'!$B$9:$AN$48,11,FALSE))</f>
        <v>68</v>
      </c>
      <c r="K23" s="31">
        <f t="shared" si="2"/>
        <v>205</v>
      </c>
      <c r="L23" s="26">
        <f t="shared" si="0"/>
        <v>68.333333333333329</v>
      </c>
      <c r="M23" s="31" t="str">
        <f t="shared" si="3"/>
        <v>C</v>
      </c>
    </row>
    <row r="24" spans="1:13" ht="15" customHeight="1" x14ac:dyDescent="0.25">
      <c r="A24" s="20" t="s">
        <v>8</v>
      </c>
      <c r="B24" s="8"/>
      <c r="C24" s="8"/>
      <c r="D24" s="8"/>
      <c r="E24" s="8"/>
      <c r="F24" s="1">
        <f>VLOOKUP(C8,'3rd Term'!B9:AN48,12,FALSE)</f>
        <v>15</v>
      </c>
      <c r="G24" s="31">
        <f>VLOOKUP(C8,'3rd Term'!B9:AN48,13,FALSE)</f>
        <v>37</v>
      </c>
      <c r="H24" s="31">
        <f t="shared" si="1"/>
        <v>52</v>
      </c>
      <c r="I24" s="31">
        <f>(VLOOKUP(C8,'2nd Term'!B9:AN48,12,FALSE))+(VLOOKUP(C8,'2nd Term'!B9:AN48,13,FALSE))</f>
        <v>41</v>
      </c>
      <c r="J24" s="31">
        <f>(VLOOKUP($C$8,'1st Term'!$B$9:$AN$48,12,FALSE))+(VLOOKUP($C$8,'1st Term'!$B$9:$AN$48,13,FALSE))</f>
        <v>35</v>
      </c>
      <c r="K24" s="31">
        <f t="shared" si="2"/>
        <v>128</v>
      </c>
      <c r="L24" s="26">
        <f t="shared" si="0"/>
        <v>42.666666666666664</v>
      </c>
      <c r="M24" s="31" t="str">
        <f t="shared" si="3"/>
        <v>P</v>
      </c>
    </row>
    <row r="25" spans="1:13" ht="15" customHeight="1" x14ac:dyDescent="0.25">
      <c r="A25" s="20" t="s">
        <v>9</v>
      </c>
      <c r="B25" s="8"/>
      <c r="C25" s="8"/>
      <c r="D25" s="8"/>
      <c r="E25" s="8"/>
      <c r="F25" s="1">
        <f>VLOOKUP(C8,'3rd Term'!B9:AN48,14,FALSE)</f>
        <v>17</v>
      </c>
      <c r="G25" s="31">
        <f>VLOOKUP(C8,'3rd Term'!B9:AN48,15,FALSE)</f>
        <v>36</v>
      </c>
      <c r="H25" s="31">
        <f t="shared" si="1"/>
        <v>53</v>
      </c>
      <c r="I25" s="31">
        <f>(VLOOKUP(C8,'2nd Term'!B9:AN48,14,FALSE))+(VLOOKUP(C8,'2nd Term'!B9:AN48,15,FALSE))</f>
        <v>70</v>
      </c>
      <c r="J25" s="31">
        <f>(VLOOKUP($C$8,'1st Term'!$B$9:$AN$48,14,FALSE))+(VLOOKUP($C$8,'1st Term'!$B$9:$AN$48,15,FALSE))</f>
        <v>31</v>
      </c>
      <c r="K25" s="31">
        <f t="shared" si="2"/>
        <v>154</v>
      </c>
      <c r="L25" s="26">
        <f t="shared" si="0"/>
        <v>51.333333333333336</v>
      </c>
      <c r="M25" s="31" t="str">
        <f t="shared" si="3"/>
        <v>C</v>
      </c>
    </row>
    <row r="26" spans="1:13" ht="15" customHeight="1" x14ac:dyDescent="0.25">
      <c r="A26" s="20" t="s">
        <v>10</v>
      </c>
      <c r="B26" s="8"/>
      <c r="C26" s="8"/>
      <c r="D26" s="8"/>
      <c r="E26" s="8"/>
      <c r="F26" s="1">
        <f>VLOOKUP(C8,'3rd Term'!B9:AN48,16,FALSE)</f>
        <v>13</v>
      </c>
      <c r="G26" s="31">
        <f>VLOOKUP(C8,'3rd Term'!B9:AN48,17,FALSE)</f>
        <v>31</v>
      </c>
      <c r="H26" s="31">
        <f t="shared" si="1"/>
        <v>44</v>
      </c>
      <c r="I26" s="31">
        <f>(VLOOKUP(C8,'2nd Term'!B9:AN48,16,FALSE))+(VLOOKUP(C8,'2nd Term'!B9:AN48,17,FALSE))</f>
        <v>70</v>
      </c>
      <c r="J26" s="31">
        <f>(VLOOKUP($C$8,'1st Term'!$B$9:$AN$48,16,FALSE))+(VLOOKUP($C$8,'1st Term'!$B$9:$AN$48,17,FALSE))</f>
        <v>40</v>
      </c>
      <c r="K26" s="31">
        <f t="shared" si="2"/>
        <v>154</v>
      </c>
      <c r="L26" s="26">
        <f t="shared" si="0"/>
        <v>51.333333333333336</v>
      </c>
      <c r="M26" s="31" t="str">
        <f t="shared" si="3"/>
        <v>C</v>
      </c>
    </row>
    <row r="27" spans="1:13" ht="15" hidden="1" customHeight="1" x14ac:dyDescent="0.25">
      <c r="A27" s="20" t="s">
        <v>11</v>
      </c>
      <c r="B27" s="8"/>
      <c r="C27" s="8"/>
      <c r="D27" s="8"/>
      <c r="E27" s="8"/>
      <c r="F27" s="1">
        <f>VLOOKUP(C8,'3rd Term'!B9:AN48,18,FALSE)</f>
        <v>0</v>
      </c>
      <c r="G27" s="31">
        <f>VLOOKUP(C8,'3rd Term'!B9:AN48,19,FALSE)</f>
        <v>0</v>
      </c>
      <c r="H27" s="31">
        <f t="shared" si="1"/>
        <v>0</v>
      </c>
      <c r="I27" s="31">
        <f>(VLOOKUP(C8,'2nd Term'!B9:AN48,18,FALSE))+(VLOOKUP(C8,'2nd Term'!B9:AN48,19,FALSE))</f>
        <v>0</v>
      </c>
      <c r="J27" s="31">
        <f>(VLOOKUP($C$8,'1st Term'!$B$9:$AN$48,18,FALSE))+(VLOOKUP($C$8,'1st Term'!$B$9:$AN$48,19,FALSE))</f>
        <v>0</v>
      </c>
      <c r="K27" s="31" t="str">
        <f t="shared" si="2"/>
        <v>-</v>
      </c>
      <c r="L27" s="26" t="str">
        <f t="shared" si="0"/>
        <v>-</v>
      </c>
      <c r="M27" s="31" t="str">
        <f t="shared" si="3"/>
        <v>-</v>
      </c>
    </row>
    <row r="28" spans="1:13" ht="15" customHeight="1" x14ac:dyDescent="0.25">
      <c r="A28" s="20" t="s">
        <v>13</v>
      </c>
      <c r="B28" s="8"/>
      <c r="C28" s="8"/>
      <c r="D28" s="8"/>
      <c r="E28" s="8"/>
      <c r="F28" s="1">
        <f>VLOOKUP(C8,'3rd Term'!B9:AN48,20,FALSE)</f>
        <v>17</v>
      </c>
      <c r="G28" s="31">
        <f>VLOOKUP(C8,'3rd Term'!B9:AN48,21,FALSE)</f>
        <v>41</v>
      </c>
      <c r="H28" s="31">
        <f t="shared" si="1"/>
        <v>58</v>
      </c>
      <c r="I28" s="31">
        <f>(VLOOKUP(C8,'2nd Term'!B9:AN48,20,FALSE))+(VLOOKUP(C8,'2nd Term'!B9:AN48,21,FALSE))</f>
        <v>88</v>
      </c>
      <c r="J28" s="31">
        <f>(VLOOKUP($C$8,'1st Term'!$B$9:$AN$48,20,FALSE))+(VLOOKUP($C$8,'1st Term'!$B$9:$AN$48,21,FALSE))</f>
        <v>72</v>
      </c>
      <c r="K28" s="31">
        <f t="shared" si="2"/>
        <v>218</v>
      </c>
      <c r="L28" s="26">
        <f t="shared" si="0"/>
        <v>72.666666666666671</v>
      </c>
      <c r="M28" s="31" t="str">
        <f t="shared" si="3"/>
        <v>A</v>
      </c>
    </row>
    <row r="29" spans="1:13" x14ac:dyDescent="0.25">
      <c r="A29" s="20" t="s">
        <v>14</v>
      </c>
      <c r="B29" s="8"/>
      <c r="C29" s="8"/>
      <c r="D29" s="8"/>
      <c r="E29" s="8"/>
      <c r="F29" s="1">
        <f>VLOOKUP(C8,'3rd Term'!B9:AN48,22,FALSE)</f>
        <v>14</v>
      </c>
      <c r="G29" s="31">
        <f>VLOOKUP(C8,'3rd Term'!B9:AN48,23,FALSE)</f>
        <v>36</v>
      </c>
      <c r="H29" s="31">
        <f t="shared" si="1"/>
        <v>50</v>
      </c>
      <c r="I29" s="31">
        <f>(VLOOKUP(C8,'2nd Term'!B9:AN48,22,FALSE))+(VLOOKUP(C8,'2nd Term'!B9:AN48,23,FALSE))</f>
        <v>81</v>
      </c>
      <c r="J29" s="31">
        <f>(VLOOKUP($C$8,'1st Term'!$B$9:$AN$48,22,FALSE))+(VLOOKUP($C$8,'1st Term'!$B$9:$AN$48,23,FALSE))</f>
        <v>76</v>
      </c>
      <c r="K29" s="31">
        <f t="shared" si="2"/>
        <v>207</v>
      </c>
      <c r="L29" s="26">
        <f t="shared" si="0"/>
        <v>69</v>
      </c>
      <c r="M29" s="31" t="str">
        <f t="shared" si="3"/>
        <v>C</v>
      </c>
    </row>
    <row r="30" spans="1:13" x14ac:dyDescent="0.25">
      <c r="A30" s="20" t="s">
        <v>15</v>
      </c>
      <c r="B30" s="8"/>
      <c r="C30" s="8"/>
      <c r="D30" s="8"/>
      <c r="E30" s="8"/>
      <c r="F30" s="1">
        <f>VLOOKUP(C8,'3rd Term'!B9:AN48,24,FALSE)</f>
        <v>22</v>
      </c>
      <c r="G30" s="31">
        <f>VLOOKUP(C8,'3rd Term'!B9:AN48,25,FALSE)</f>
        <v>38</v>
      </c>
      <c r="H30" s="31">
        <f t="shared" si="1"/>
        <v>60</v>
      </c>
      <c r="I30" s="31">
        <f>(VLOOKUP(C8,'2nd Term'!B9:AN48,24,FALSE))+(VLOOKUP(C8,'2nd Term'!B9:AN48,25,FALSE))</f>
        <v>60</v>
      </c>
      <c r="J30" s="31">
        <f>(VLOOKUP($C$8,'1st Term'!$B$9:$AN$48,24,FALSE))+(VLOOKUP($C$8,'1st Term'!$B$9:$AN$48,25,FALSE))</f>
        <v>50</v>
      </c>
      <c r="K30" s="31">
        <f t="shared" si="2"/>
        <v>170</v>
      </c>
      <c r="L30" s="26">
        <f t="shared" si="0"/>
        <v>56.666666666666664</v>
      </c>
      <c r="M30" s="31" t="str">
        <f t="shared" si="3"/>
        <v>C</v>
      </c>
    </row>
    <row r="31" spans="1:13" hidden="1" x14ac:dyDescent="0.25">
      <c r="A31" s="20" t="s">
        <v>22</v>
      </c>
      <c r="B31" s="8"/>
      <c r="C31" s="8"/>
      <c r="D31" s="8"/>
      <c r="E31" s="8"/>
      <c r="F31" s="1">
        <f>VLOOKUP(C8,'3rd Term'!B9:AN48,26,FALSE)</f>
        <v>0</v>
      </c>
      <c r="G31" s="31">
        <f>VLOOKUP(C8,'3rd Term'!B9:AN48,27,FALSE)</f>
        <v>0</v>
      </c>
      <c r="H31" s="31">
        <f t="shared" si="1"/>
        <v>0</v>
      </c>
      <c r="I31" s="31">
        <f>(VLOOKUP(C8,'2nd Term'!B9:AN48,26,FALSE))+(VLOOKUP(C8,'2nd Term'!B9:AN48,27,FALSE))</f>
        <v>0</v>
      </c>
      <c r="J31" s="31">
        <f>(VLOOKUP($C$8,'1st Term'!$B$9:$AN$48,26,FALSE))+(VLOOKUP($C$8,'1st Term'!$B$9:$AN$48,27,FALSE))</f>
        <v>0</v>
      </c>
      <c r="K31" s="31" t="str">
        <f t="shared" si="2"/>
        <v>-</v>
      </c>
      <c r="L31" s="26" t="str">
        <f t="shared" si="0"/>
        <v>-</v>
      </c>
      <c r="M31" s="31" t="str">
        <f t="shared" si="3"/>
        <v>-</v>
      </c>
    </row>
    <row r="32" spans="1:13" x14ac:dyDescent="0.25">
      <c r="A32" s="20" t="s">
        <v>16</v>
      </c>
      <c r="B32" s="8"/>
      <c r="C32" s="8"/>
      <c r="D32" s="8"/>
      <c r="E32" s="8"/>
      <c r="F32" s="1">
        <f>VLOOKUP(C8,'3rd Term'!B9:AN48,28,FALSE)</f>
        <v>21</v>
      </c>
      <c r="G32" s="31">
        <f>VLOOKUP(C8,'3rd Term'!B9:AN48,29,FALSE)</f>
        <v>16</v>
      </c>
      <c r="H32" s="31">
        <f t="shared" si="1"/>
        <v>37</v>
      </c>
      <c r="I32" s="31">
        <f>(VLOOKUP(C8,'2nd Term'!B9:AN48,28,FALSE))+(VLOOKUP(C8,'2nd Term'!B9:AN48,29,FALSE))</f>
        <v>45</v>
      </c>
      <c r="J32" s="31">
        <f>(VLOOKUP($C$8,'1st Term'!$B$9:$AN$48,28,FALSE))+(VLOOKUP($C$8,'1st Term'!$B$9:$AN$48,29,FALSE))</f>
        <v>56</v>
      </c>
      <c r="K32" s="31">
        <f t="shared" si="2"/>
        <v>138</v>
      </c>
      <c r="L32" s="26">
        <f t="shared" si="0"/>
        <v>46</v>
      </c>
      <c r="M32" s="31" t="str">
        <f t="shared" si="3"/>
        <v>P</v>
      </c>
    </row>
    <row r="33" spans="1:13" x14ac:dyDescent="0.25">
      <c r="A33" s="20" t="s">
        <v>17</v>
      </c>
      <c r="B33" s="8"/>
      <c r="C33" s="8"/>
      <c r="D33" s="8"/>
      <c r="E33" s="8"/>
      <c r="F33" s="1">
        <f>VLOOKUP(C8,'3rd Term'!B9:AN48,30,FALSE)</f>
        <v>29</v>
      </c>
      <c r="G33" s="31">
        <f>VLOOKUP(C8,'3rd Term'!B9:AN48,31,FALSE)</f>
        <v>43</v>
      </c>
      <c r="H33" s="31">
        <f t="shared" si="1"/>
        <v>72</v>
      </c>
      <c r="I33" s="31">
        <f>(VLOOKUP(C8,'2nd Term'!B9:AN48,30,FALSE))+(VLOOKUP(C8,'2nd Term'!B9:AN48,31,FALSE))</f>
        <v>70</v>
      </c>
      <c r="J33" s="31">
        <f>(VLOOKUP($C$8,'1st Term'!$B$9:$AN$48,30,FALSE))+(VLOOKUP($C$8,'1st Term'!$B$9:$AN$48,31,FALSE))</f>
        <v>57</v>
      </c>
      <c r="K33" s="31">
        <f t="shared" si="2"/>
        <v>199</v>
      </c>
      <c r="L33" s="26">
        <f t="shared" si="0"/>
        <v>66.333333333333329</v>
      </c>
      <c r="M33" s="31" t="str">
        <f t="shared" si="3"/>
        <v>C</v>
      </c>
    </row>
    <row r="34" spans="1:13" x14ac:dyDescent="0.25">
      <c r="A34" s="20" t="s">
        <v>18</v>
      </c>
      <c r="B34" s="8"/>
      <c r="C34" s="8"/>
      <c r="D34" s="8"/>
      <c r="E34" s="8"/>
      <c r="F34" s="1">
        <f>VLOOKUP(C8,'3rd Term'!B9:AN48,32,FALSE)</f>
        <v>19</v>
      </c>
      <c r="G34" s="31">
        <f>VLOOKUP(C8,'3rd Term'!B9:AN48,33,FALSE)</f>
        <v>39</v>
      </c>
      <c r="H34" s="31">
        <f t="shared" si="1"/>
        <v>58</v>
      </c>
      <c r="I34" s="31">
        <f>(VLOOKUP(C8,'2nd Term'!B9:AN48,32,FALSE))+(VLOOKUP(C8,'2nd Term'!B9:AN48,33,FALSE))</f>
        <v>72</v>
      </c>
      <c r="J34" s="31">
        <f>(VLOOKUP($C$8,'1st Term'!$B$9:$AN$48,32,FALSE))+(VLOOKUP($C$8,'1st Term'!$B$9:$AN$48,33,FALSE))</f>
        <v>72</v>
      </c>
      <c r="K34" s="31">
        <f t="shared" si="2"/>
        <v>202</v>
      </c>
      <c r="L34" s="26">
        <f t="shared" si="0"/>
        <v>67.333333333333329</v>
      </c>
      <c r="M34" s="31" t="str">
        <f t="shared" si="3"/>
        <v>C</v>
      </c>
    </row>
    <row r="35" spans="1:13" x14ac:dyDescent="0.25">
      <c r="A35" s="20" t="s">
        <v>19</v>
      </c>
      <c r="B35" s="8"/>
      <c r="C35" s="8"/>
      <c r="D35" s="8"/>
      <c r="E35" s="8"/>
      <c r="F35" s="1">
        <f>VLOOKUP(C8,'3rd Term'!B9:AN48,34,FALSE)</f>
        <v>17</v>
      </c>
      <c r="G35" s="31">
        <f>VLOOKUP(C8,'3rd Term'!B9:AN48,35,FALSE)</f>
        <v>23</v>
      </c>
      <c r="H35" s="31">
        <f t="shared" si="1"/>
        <v>40</v>
      </c>
      <c r="I35" s="31">
        <f>(VLOOKUP(C8,'2nd Term'!B9:AN48,34,FALSE))+(VLOOKUP(C8,'2nd Term'!B9:AN48,35,FALSE))</f>
        <v>54</v>
      </c>
      <c r="J35" s="31">
        <f>(VLOOKUP($C$8,'1st Term'!$B$9:$AN$48,34,FALSE))+(VLOOKUP($C$8,'1st Term'!$B$9:$AN$48,35,FALSE))</f>
        <v>40</v>
      </c>
      <c r="K35" s="31">
        <f t="shared" si="2"/>
        <v>134</v>
      </c>
      <c r="L35" s="26">
        <f t="shared" si="0"/>
        <v>44.666666666666664</v>
      </c>
      <c r="M35" s="31" t="str">
        <f t="shared" si="3"/>
        <v>P</v>
      </c>
    </row>
    <row r="36" spans="1:13" x14ac:dyDescent="0.25">
      <c r="A36" s="20" t="s">
        <v>20</v>
      </c>
      <c r="B36" s="8"/>
      <c r="C36" s="8"/>
      <c r="D36" s="8"/>
      <c r="E36" s="8"/>
      <c r="F36" s="1">
        <f>VLOOKUP(C8,'3rd Term'!B9:AN48,36,FALSE)</f>
        <v>20</v>
      </c>
      <c r="G36" s="31">
        <f>VLOOKUP(C8,'3rd Term'!B9:AN48,37,FALSE)</f>
        <v>40</v>
      </c>
      <c r="H36" s="31">
        <f t="shared" si="1"/>
        <v>60</v>
      </c>
      <c r="I36" s="31">
        <f>(VLOOKUP(C8,'2nd Term'!B9:AN48,36,FALSE))+(VLOOKUP(C8,'2nd Term'!B9:AN48,37,FALSE))</f>
        <v>70</v>
      </c>
      <c r="J36" s="31">
        <f>(VLOOKUP($C$8,'1st Term'!$B$9:$AN$48,36,FALSE))+(VLOOKUP($C$8,'1st Term'!$B$9:$AN$48,37,FALSE))</f>
        <v>50</v>
      </c>
      <c r="K36" s="31">
        <f t="shared" si="2"/>
        <v>180</v>
      </c>
      <c r="L36" s="26">
        <f t="shared" si="0"/>
        <v>60</v>
      </c>
      <c r="M36" s="31" t="str">
        <f t="shared" si="3"/>
        <v>C</v>
      </c>
    </row>
    <row r="37" spans="1:13" x14ac:dyDescent="0.25">
      <c r="A37" s="18" t="s">
        <v>21</v>
      </c>
      <c r="B37" s="7"/>
      <c r="C37" s="7"/>
      <c r="D37" s="7"/>
      <c r="E37" s="7"/>
      <c r="F37" s="57">
        <f>VLOOKUP(C8,'3rd Term'!B9:AN48,38,FALSE)</f>
        <v>19</v>
      </c>
      <c r="G37" s="31">
        <f>VLOOKUP(C8,'3rd Term'!B9:AN48,39,FALSE)</f>
        <v>40</v>
      </c>
      <c r="H37" s="31">
        <f t="shared" si="1"/>
        <v>59</v>
      </c>
      <c r="I37" s="31">
        <f>(VLOOKUP(C8,'2nd Term'!B9:AN48,38,FALSE))+(VLOOKUP(C8,'2nd Term'!B9:AN48,39,FALSE))</f>
        <v>74</v>
      </c>
      <c r="J37" s="31">
        <f>(VLOOKUP($C$8,'1st Term'!$B$9:$AN$48,38,FALSE))+(VLOOKUP($C$8,'1st Term'!$B$9:$AN$48,39,FALSE))</f>
        <v>80</v>
      </c>
      <c r="K37" s="31">
        <f t="shared" si="2"/>
        <v>213</v>
      </c>
      <c r="L37" s="26">
        <f t="shared" si="0"/>
        <v>71</v>
      </c>
      <c r="M37" s="31" t="str">
        <f t="shared" si="3"/>
        <v>A</v>
      </c>
    </row>
    <row r="43" spans="1:13" x14ac:dyDescent="0.25">
      <c r="G43" s="110" t="s">
        <v>62</v>
      </c>
      <c r="H43" s="110"/>
      <c r="I43" s="110"/>
      <c r="J43" s="110"/>
      <c r="K43" s="110"/>
      <c r="L43" s="110"/>
      <c r="M43" s="110"/>
    </row>
    <row r="44" spans="1:13" x14ac:dyDescent="0.25">
      <c r="A44" s="77" t="s">
        <v>58</v>
      </c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</row>
    <row r="45" spans="1:13" ht="12.75" customHeight="1" x14ac:dyDescent="0.25">
      <c r="A45" s="50" t="str">
        <f>VLOOKUP(C8,comments!B8:X47,7,0)</f>
        <v>She is improving gradually but needs to participate more in class discussions.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</row>
    <row r="46" spans="1:13" x14ac:dyDescent="0.25">
      <c r="A46" s="50"/>
      <c r="B46" s="50"/>
      <c r="C46" s="50"/>
      <c r="D46" s="50"/>
      <c r="E46" s="50"/>
      <c r="F46" s="78"/>
      <c r="G46" s="78"/>
      <c r="H46" s="78"/>
      <c r="I46" s="78"/>
      <c r="J46" s="78"/>
      <c r="K46" s="78"/>
      <c r="L46" s="78"/>
      <c r="M46" s="78"/>
    </row>
    <row r="47" spans="1:13" x14ac:dyDescent="0.25">
      <c r="A47" s="79" t="s">
        <v>60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</row>
    <row r="48" spans="1:13" ht="12" customHeight="1" x14ac:dyDescent="0.25">
      <c r="A48" s="50" t="str">
        <f>VLOOKUP(C8,comments!B8:X47,14,0)</f>
        <v>Just fair. You can improve if only you will be more regular at school next term. Promoted to the Next Class.</v>
      </c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</row>
    <row r="49" spans="1:13" x14ac:dyDescent="0.25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</row>
    <row r="50" spans="1:13" x14ac:dyDescent="0.25">
      <c r="A50" s="79" t="s">
        <v>59</v>
      </c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</row>
    <row r="51" spans="1:13" ht="12" customHeight="1" x14ac:dyDescent="0.25">
      <c r="A51" s="78" t="s">
        <v>61</v>
      </c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</row>
  </sheetData>
  <sheetProtection algorithmName="SHA-512" hashValue="lLt2HWpLMJ/rYLNwurram/8mBG/bpgrfVKGNM1/N7nEBXA4EwFIiiHgK4FqLullmP+Q6vcbD40ngbdTqtt9mOQ==" saltValue="hiJZ31S3EhZAPkfLa5NmFA==" spinCount="100000" sheet="1" scenarios="1"/>
  <mergeCells count="13">
    <mergeCell ref="I14:I17"/>
    <mergeCell ref="A18:B18"/>
    <mergeCell ref="G43:M43"/>
    <mergeCell ref="B1:M2"/>
    <mergeCell ref="B3:M3"/>
    <mergeCell ref="B4:M4"/>
    <mergeCell ref="B5:M6"/>
    <mergeCell ref="K7:M12"/>
    <mergeCell ref="A8:B8"/>
    <mergeCell ref="A9:B9"/>
    <mergeCell ref="A10:B10"/>
    <mergeCell ref="A11:B11"/>
    <mergeCell ref="A12:B12"/>
  </mergeCells>
  <conditionalFormatting sqref="M19:M37">
    <cfRule type="cellIs" dxfId="9" priority="3" operator="equal">
      <formula>"F"</formula>
    </cfRule>
    <cfRule type="cellIs" dxfId="8" priority="4" operator="equal">
      <formula>"P"</formula>
    </cfRule>
    <cfRule type="cellIs" dxfId="7" priority="5" operator="equal">
      <formula>"C"</formula>
    </cfRule>
    <cfRule type="cellIs" dxfId="6" priority="6" operator="equal">
      <formula>"A"</formula>
    </cfRule>
  </conditionalFormatting>
  <conditionalFormatting sqref="F19:J37">
    <cfRule type="cellIs" dxfId="5" priority="1" operator="equal">
      <formula>0</formula>
    </cfRule>
    <cfRule type="colorScale" priority="2">
      <colorScale>
        <cfvo type="min"/>
        <cfvo type="num" val="0"/>
        <color rgb="FFFF7128"/>
        <color theme="0"/>
      </colorScale>
    </cfRule>
  </conditionalFormatting>
  <dataValidations count="1">
    <dataValidation type="list" allowBlank="1" showInputMessage="1" showErrorMessage="1" sqref="M14:M17" xr:uid="{B8E1C0AE-0B11-40FD-BAF1-F4242BA32257}">
      <formula1>"A,B,C,D,E"</formula1>
    </dataValidation>
  </dataValidations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628E0-4154-4BB6-862A-2303F899EB28}">
  <sheetPr>
    <tabColor rgb="FF7030A0"/>
  </sheetPr>
  <dimension ref="A1:M51"/>
  <sheetViews>
    <sheetView workbookViewId="0">
      <selection activeCell="P11" sqref="P11"/>
    </sheetView>
  </sheetViews>
  <sheetFormatPr defaultRowHeight="15" x14ac:dyDescent="0.25"/>
  <cols>
    <col min="3" max="3" width="8.140625" customWidth="1"/>
    <col min="4" max="4" width="9.42578125" customWidth="1"/>
    <col min="5" max="5" width="10.5703125" customWidth="1"/>
    <col min="6" max="6" width="6.28515625" customWidth="1"/>
    <col min="7" max="8" width="5.85546875" customWidth="1"/>
    <col min="9" max="9" width="5.5703125" customWidth="1"/>
    <col min="10" max="11" width="5.28515625" customWidth="1"/>
    <col min="12" max="12" width="6.28515625" customWidth="1"/>
    <col min="13" max="13" width="5.7109375" customWidth="1"/>
  </cols>
  <sheetData>
    <row r="1" spans="1:13" ht="15" customHeight="1" x14ac:dyDescent="0.25">
      <c r="A1" s="10"/>
      <c r="B1" s="116" t="s">
        <v>185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</row>
    <row r="2" spans="1:13" ht="15" customHeight="1" x14ac:dyDescent="0.25">
      <c r="A2" s="10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</row>
    <row r="3" spans="1:13" ht="15.75" x14ac:dyDescent="0.25">
      <c r="A3" s="10"/>
      <c r="B3" s="117" t="s">
        <v>184</v>
      </c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</row>
    <row r="4" spans="1:13" ht="15.75" x14ac:dyDescent="0.25">
      <c r="A4" s="10"/>
      <c r="B4" s="118" t="s">
        <v>186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</row>
    <row r="5" spans="1:13" ht="15" customHeight="1" x14ac:dyDescent="0.25">
      <c r="A5" s="10"/>
      <c r="B5" s="119" t="s">
        <v>36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</row>
    <row r="6" spans="1:13" ht="15" customHeight="1" x14ac:dyDescent="0.25">
      <c r="A6" s="10"/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</row>
    <row r="7" spans="1:13" ht="15" customHeight="1" x14ac:dyDescent="0.25">
      <c r="I7" s="10"/>
      <c r="J7" s="10"/>
      <c r="K7" s="122" t="s">
        <v>105</v>
      </c>
      <c r="L7" s="122"/>
      <c r="M7" s="122"/>
    </row>
    <row r="8" spans="1:13" x14ac:dyDescent="0.25">
      <c r="A8" s="120" t="s">
        <v>37</v>
      </c>
      <c r="B8" s="120"/>
      <c r="C8" s="29" t="str">
        <f>('1st Term'!B30)</f>
        <v>WASIU NIMOTALLAH</v>
      </c>
      <c r="D8" s="8"/>
      <c r="E8" s="8"/>
      <c r="F8" s="8"/>
      <c r="G8" s="8"/>
      <c r="H8" s="9"/>
      <c r="I8" s="10"/>
      <c r="J8" s="10"/>
      <c r="K8" s="122"/>
      <c r="L8" s="122"/>
      <c r="M8" s="122"/>
    </row>
    <row r="9" spans="1:13" x14ac:dyDescent="0.25">
      <c r="A9" s="121" t="s">
        <v>38</v>
      </c>
      <c r="B9" s="115"/>
      <c r="C9" s="29" t="str">
        <f>('1st Term'!B7)</f>
        <v>JSS 1A</v>
      </c>
      <c r="D9" s="8"/>
      <c r="E9" s="8"/>
      <c r="F9" s="8"/>
      <c r="G9" s="8"/>
      <c r="H9" s="9"/>
      <c r="I9" s="10"/>
      <c r="J9" s="10"/>
      <c r="K9" s="122"/>
      <c r="L9" s="122"/>
      <c r="M9" s="122"/>
    </row>
    <row r="10" spans="1:13" x14ac:dyDescent="0.25">
      <c r="A10" s="121" t="s">
        <v>39</v>
      </c>
      <c r="B10" s="115"/>
      <c r="C10" s="29" t="str">
        <f>(comments!C4)</f>
        <v>2025/2026</v>
      </c>
      <c r="D10" s="8"/>
      <c r="E10" s="8"/>
      <c r="F10" s="43"/>
      <c r="G10" s="43"/>
      <c r="H10" s="9"/>
      <c r="I10" s="10"/>
      <c r="J10" s="10"/>
      <c r="K10" s="122"/>
      <c r="L10" s="122"/>
      <c r="M10" s="122"/>
    </row>
    <row r="11" spans="1:13" x14ac:dyDescent="0.25">
      <c r="A11" s="121" t="s">
        <v>40</v>
      </c>
      <c r="B11" s="115"/>
      <c r="C11" s="30" t="str">
        <f>(comments!B5)</f>
        <v>THIRD TERM</v>
      </c>
      <c r="D11" s="7"/>
      <c r="E11" s="7"/>
      <c r="F11" s="13" t="s">
        <v>167</v>
      </c>
      <c r="G11" s="8"/>
      <c r="H11" s="53">
        <f>INDEX(comments!D8:D47,MATCH(sheet22!C8,comments!B8:B47,0))</f>
        <v>61.568627450980387</v>
      </c>
      <c r="I11" s="10"/>
      <c r="J11" s="10"/>
      <c r="K11" s="122"/>
      <c r="L11" s="122"/>
      <c r="M11" s="122"/>
    </row>
    <row r="12" spans="1:13" x14ac:dyDescent="0.25">
      <c r="A12" s="114" t="s">
        <v>41</v>
      </c>
      <c r="B12" s="115"/>
      <c r="C12" s="30" t="str">
        <f>(comments!E6)</f>
        <v>20TH APRIL 2026</v>
      </c>
      <c r="D12" s="7"/>
      <c r="E12" s="7"/>
      <c r="F12" s="13" t="s">
        <v>44</v>
      </c>
      <c r="G12" s="8"/>
      <c r="H12" s="51" t="str">
        <f>INDEX(comments!E8:E47,MATCH(sheet22!C8,comments!B8:B47,0))</f>
        <v>6th</v>
      </c>
      <c r="I12" s="10"/>
      <c r="J12" s="10"/>
      <c r="K12" s="123"/>
      <c r="L12" s="123"/>
      <c r="M12" s="123"/>
    </row>
    <row r="13" spans="1:13" x14ac:dyDescent="0.25">
      <c r="A13" s="48"/>
      <c r="B13" s="49"/>
      <c r="C13" s="50"/>
      <c r="F13" s="25"/>
      <c r="H13" s="52"/>
      <c r="I13" s="10"/>
      <c r="J13" s="10"/>
      <c r="K13" s="54"/>
      <c r="L13" s="54"/>
      <c r="M13" s="54"/>
    </row>
    <row r="14" spans="1:13" ht="16.5" customHeight="1" x14ac:dyDescent="0.25">
      <c r="A14" s="16" t="s">
        <v>48</v>
      </c>
      <c r="B14" s="8"/>
      <c r="C14" s="8"/>
      <c r="D14" s="13" t="s">
        <v>49</v>
      </c>
      <c r="E14" s="8"/>
      <c r="F14" s="8"/>
      <c r="G14" s="8"/>
      <c r="H14" s="15"/>
      <c r="I14" s="113" t="s">
        <v>50</v>
      </c>
      <c r="J14" s="45" t="s">
        <v>32</v>
      </c>
      <c r="K14" s="44"/>
      <c r="L14" s="17"/>
      <c r="M14" s="44" t="s">
        <v>52</v>
      </c>
    </row>
    <row r="15" spans="1:13" ht="21" customHeight="1" x14ac:dyDescent="0.25">
      <c r="A15" s="11" t="s">
        <v>46</v>
      </c>
      <c r="B15" s="7"/>
      <c r="C15" s="7"/>
      <c r="D15" s="55">
        <f>(comments!C6)</f>
        <v>110</v>
      </c>
      <c r="E15" s="8"/>
      <c r="F15" s="8"/>
      <c r="G15" s="8"/>
      <c r="H15" s="14"/>
      <c r="I15" s="113"/>
      <c r="J15" s="45" t="s">
        <v>33</v>
      </c>
      <c r="K15" s="44"/>
      <c r="L15" s="17"/>
      <c r="M15" s="44" t="s">
        <v>51</v>
      </c>
    </row>
    <row r="16" spans="1:13" ht="18.75" customHeight="1" x14ac:dyDescent="0.25">
      <c r="A16" s="12" t="s">
        <v>47</v>
      </c>
      <c r="B16" s="8"/>
      <c r="C16" s="8"/>
      <c r="D16" s="56">
        <f>VLOOKUP(C8,comments!B8:C47,2,FALSE)</f>
        <v>0</v>
      </c>
      <c r="E16" s="8"/>
      <c r="F16" s="8"/>
      <c r="G16" s="8"/>
      <c r="H16" s="14"/>
      <c r="I16" s="113"/>
      <c r="J16" s="45" t="s">
        <v>34</v>
      </c>
      <c r="K16" s="44"/>
      <c r="L16" s="17"/>
      <c r="M16" s="44" t="s">
        <v>51</v>
      </c>
    </row>
    <row r="17" spans="1:13" ht="17.25" customHeight="1" x14ac:dyDescent="0.25">
      <c r="A17" s="11" t="s">
        <v>45</v>
      </c>
      <c r="B17" s="7"/>
      <c r="C17" s="7"/>
      <c r="D17" s="56">
        <f>(comments!D6)</f>
        <v>22</v>
      </c>
      <c r="E17" s="8"/>
      <c r="F17" s="8"/>
      <c r="G17" s="8"/>
      <c r="H17" s="14"/>
      <c r="I17" s="113"/>
      <c r="J17" s="47" t="s">
        <v>35</v>
      </c>
      <c r="K17" s="46"/>
      <c r="L17" s="40"/>
      <c r="M17" s="44" t="s">
        <v>52</v>
      </c>
    </row>
    <row r="18" spans="1:13" ht="61.5" customHeight="1" x14ac:dyDescent="0.25">
      <c r="A18" s="111" t="s">
        <v>53</v>
      </c>
      <c r="B18" s="112"/>
      <c r="C18" s="19"/>
      <c r="D18" s="19"/>
      <c r="E18" s="19"/>
      <c r="F18" s="41" t="s">
        <v>172</v>
      </c>
      <c r="G18" s="41" t="s">
        <v>171</v>
      </c>
      <c r="H18" s="41" t="s">
        <v>173</v>
      </c>
      <c r="I18" s="42" t="s">
        <v>174</v>
      </c>
      <c r="J18" s="42" t="s">
        <v>175</v>
      </c>
      <c r="K18" s="41" t="s">
        <v>165</v>
      </c>
      <c r="L18" s="41" t="s">
        <v>166</v>
      </c>
      <c r="M18" s="41" t="s">
        <v>54</v>
      </c>
    </row>
    <row r="19" spans="1:13" ht="15" customHeight="1" x14ac:dyDescent="0.25">
      <c r="A19" s="20" t="s">
        <v>6</v>
      </c>
      <c r="B19" s="8"/>
      <c r="C19" s="8"/>
      <c r="D19" s="8"/>
      <c r="E19" s="8"/>
      <c r="F19" s="31">
        <f>VLOOKUP(C8,'3rd Term'!B9:AN48,2,FALSE)</f>
        <v>27</v>
      </c>
      <c r="G19" s="31">
        <f>VLOOKUP(C8,'3rd Term'!B9:AN48,3,FALSE)</f>
        <v>62</v>
      </c>
      <c r="H19" s="31">
        <f>SUM(F19:G19)</f>
        <v>89</v>
      </c>
      <c r="I19" s="5">
        <f>(VLOOKUP(C8,'2nd Term'!B9:AN48,2,FALSE))+(VLOOKUP(C8,'2nd Term'!B9:AN48,3,FALSE))</f>
        <v>56</v>
      </c>
      <c r="J19" s="31">
        <f>(VLOOKUP($C$8,'1st Term'!$B$9:$AN$48,2,FALSE))+(VLOOKUP($C$8,'1st Term'!$B$9:$AN$48,3,FALSE))</f>
        <v>56</v>
      </c>
      <c r="K19" s="31">
        <f>IF(SUM(H19:J19)=0,"-",SUM(H19:J19))</f>
        <v>201</v>
      </c>
      <c r="L19" s="26">
        <f t="shared" ref="L19:L37" si="0">IFERROR(((H19)+(I19)+(J19))/((--(H19&gt;0))+(--(I19&gt;0))+(--(J19&gt;0))),"-")</f>
        <v>67</v>
      </c>
      <c r="M19" s="31" t="str">
        <f>IF(L19="-","-",IF(L19&gt;=70,"A",IF(L19&gt;=50,"C",IF(L19&gt;=40,"P","F"))))</f>
        <v>C</v>
      </c>
    </row>
    <row r="20" spans="1:13" ht="15" customHeight="1" x14ac:dyDescent="0.25">
      <c r="A20" s="20" t="s">
        <v>3</v>
      </c>
      <c r="B20" s="8"/>
      <c r="C20" s="8"/>
      <c r="D20" s="8"/>
      <c r="E20" s="8"/>
      <c r="F20" s="1">
        <f>VLOOKUP(C8,'3rd Term'!B9:AN48,4,FALSE)</f>
        <v>27</v>
      </c>
      <c r="G20" s="31">
        <f>VLOOKUP(C8,'3rd Term'!B9:AN48,5,FALSE)</f>
        <v>60</v>
      </c>
      <c r="H20" s="31">
        <f t="shared" ref="H20:H37" si="1">SUM(F20:G20)</f>
        <v>87</v>
      </c>
      <c r="I20" s="31">
        <f>(VLOOKUP(C8,'2nd Term'!B9:AN48,4,FALSE))+(VLOOKUP(C8,'2nd Term'!B9:AN48,5,FALSE))</f>
        <v>84</v>
      </c>
      <c r="J20" s="31">
        <f>(VLOOKUP($C$8,'1st Term'!$B$9:$AN$48,4,FALSE))+(VLOOKUP($C$8,'1st Term'!$B$9:$AN$48,5,FALSE))</f>
        <v>56</v>
      </c>
      <c r="K20" s="31">
        <f t="shared" ref="K20:K37" si="2">IF(SUM(H20:J20)=0,"-",SUM(H20:J20))</f>
        <v>227</v>
      </c>
      <c r="L20" s="26">
        <f t="shared" si="0"/>
        <v>75.666666666666671</v>
      </c>
      <c r="M20" s="31" t="str">
        <f t="shared" ref="M20:M37" si="3">IF(L20="-","-",IF(L20&gt;=70,"A",IF(L20&gt;=50,"C",IF(L20&gt;=40,"P","F"))))</f>
        <v>A</v>
      </c>
    </row>
    <row r="21" spans="1:13" ht="15" customHeight="1" x14ac:dyDescent="0.25">
      <c r="A21" s="20" t="s">
        <v>4</v>
      </c>
      <c r="B21" s="8"/>
      <c r="C21" s="8"/>
      <c r="D21" s="8"/>
      <c r="E21" s="8"/>
      <c r="F21" s="1">
        <f>VLOOKUP(C8,'3rd Term'!B9:AN48,6,FALSE)</f>
        <v>25</v>
      </c>
      <c r="G21" s="31">
        <f>VLOOKUP(C8,'3rd Term'!B9:AN48,7,FALSE)</f>
        <v>59</v>
      </c>
      <c r="H21" s="31">
        <f t="shared" si="1"/>
        <v>84</v>
      </c>
      <c r="I21" s="31">
        <f>(VLOOKUP(C8,'2nd Term'!B9:AN48,6,FALSE))+(VLOOKUP(C8,'2nd Term'!B9:AN48,7,FALSE))</f>
        <v>73</v>
      </c>
      <c r="J21" s="31">
        <f>(VLOOKUP($C$8,'1st Term'!$B$9:$AN$48,6,FALSE))+(VLOOKUP($C$8,'1st Term'!$B$9:$AN$48,7,FALSE))</f>
        <v>71</v>
      </c>
      <c r="K21" s="31">
        <f t="shared" si="2"/>
        <v>228</v>
      </c>
      <c r="L21" s="26">
        <f t="shared" si="0"/>
        <v>76</v>
      </c>
      <c r="M21" s="31" t="str">
        <f t="shared" si="3"/>
        <v>A</v>
      </c>
    </row>
    <row r="22" spans="1:13" ht="15" customHeight="1" x14ac:dyDescent="0.25">
      <c r="A22" s="20" t="s">
        <v>5</v>
      </c>
      <c r="B22" s="8"/>
      <c r="C22" s="8"/>
      <c r="D22" s="8"/>
      <c r="E22" s="8"/>
      <c r="F22" s="1">
        <f>VLOOKUP(C8,'3rd Term'!B9:AN48,8,FALSE)</f>
        <v>21</v>
      </c>
      <c r="G22" s="31">
        <f>VLOOKUP(C8,'3rd Term'!B9:AN48,9,FALSE)</f>
        <v>48</v>
      </c>
      <c r="H22" s="31">
        <f t="shared" si="1"/>
        <v>69</v>
      </c>
      <c r="I22" s="31">
        <f>(VLOOKUP(C8,'2nd Term'!B9:AN48,8,FALSE))+(VLOOKUP(C8,'2nd Term'!B9:AN48,9,FALSE))</f>
        <v>35</v>
      </c>
      <c r="J22" s="31">
        <f>(VLOOKUP($C$8,'1st Term'!$B$9:$AN$48,8,FALSE))+(VLOOKUP($C$8,'1st Term'!$B$9:$AN$48,9,FALSE))</f>
        <v>33</v>
      </c>
      <c r="K22" s="31">
        <f t="shared" si="2"/>
        <v>137</v>
      </c>
      <c r="L22" s="26">
        <f t="shared" si="0"/>
        <v>45.666666666666664</v>
      </c>
      <c r="M22" s="31" t="str">
        <f t="shared" si="3"/>
        <v>P</v>
      </c>
    </row>
    <row r="23" spans="1:13" ht="15" customHeight="1" x14ac:dyDescent="0.25">
      <c r="A23" s="20" t="s">
        <v>7</v>
      </c>
      <c r="B23" s="8"/>
      <c r="C23" s="8"/>
      <c r="D23" s="8"/>
      <c r="E23" s="8"/>
      <c r="F23" s="1">
        <f>VLOOKUP(C8,'3rd Term'!B9:AN48,10,FALSE)</f>
        <v>22</v>
      </c>
      <c r="G23" s="31">
        <f>VLOOKUP(C8,'3rd Term'!B9:AN48,11,FALSE)</f>
        <v>38</v>
      </c>
      <c r="H23" s="31">
        <f t="shared" si="1"/>
        <v>60</v>
      </c>
      <c r="I23" s="31">
        <f>(VLOOKUP(C8,'2nd Term'!B9:AN48,10,FALSE))+(VLOOKUP(C8,'2nd Term'!B9:AN48,11,FALSE))</f>
        <v>75</v>
      </c>
      <c r="J23" s="31">
        <f>(VLOOKUP($C$8,'1st Term'!$B$9:$AN$48,10,FALSE))+(VLOOKUP($C$8,'1st Term'!$B$9:$AN$48,11,FALSE))</f>
        <v>54</v>
      </c>
      <c r="K23" s="31">
        <f t="shared" si="2"/>
        <v>189</v>
      </c>
      <c r="L23" s="26">
        <f t="shared" si="0"/>
        <v>63</v>
      </c>
      <c r="M23" s="31" t="str">
        <f t="shared" si="3"/>
        <v>C</v>
      </c>
    </row>
    <row r="24" spans="1:13" ht="15" customHeight="1" x14ac:dyDescent="0.25">
      <c r="A24" s="20" t="s">
        <v>8</v>
      </c>
      <c r="B24" s="8"/>
      <c r="C24" s="8"/>
      <c r="D24" s="8"/>
      <c r="E24" s="8"/>
      <c r="F24" s="1">
        <f>VLOOKUP(C8,'3rd Term'!B9:AN48,12,FALSE)</f>
        <v>27</v>
      </c>
      <c r="G24" s="31">
        <f>VLOOKUP(C8,'3rd Term'!B9:AN48,13,FALSE)</f>
        <v>45</v>
      </c>
      <c r="H24" s="31">
        <f t="shared" si="1"/>
        <v>72</v>
      </c>
      <c r="I24" s="31">
        <f>(VLOOKUP(C8,'2nd Term'!B9:AN48,12,FALSE))+(VLOOKUP(C8,'2nd Term'!B9:AN48,13,FALSE))</f>
        <v>47</v>
      </c>
      <c r="J24" s="31">
        <f>(VLOOKUP($C$8,'1st Term'!$B$9:$AN$48,12,FALSE))+(VLOOKUP($C$8,'1st Term'!$B$9:$AN$48,13,FALSE))</f>
        <v>46</v>
      </c>
      <c r="K24" s="31">
        <f t="shared" si="2"/>
        <v>165</v>
      </c>
      <c r="L24" s="26">
        <f t="shared" si="0"/>
        <v>55</v>
      </c>
      <c r="M24" s="31" t="str">
        <f t="shared" si="3"/>
        <v>C</v>
      </c>
    </row>
    <row r="25" spans="1:13" ht="15" customHeight="1" x14ac:dyDescent="0.25">
      <c r="A25" s="20" t="s">
        <v>9</v>
      </c>
      <c r="B25" s="8"/>
      <c r="C25" s="8"/>
      <c r="D25" s="8"/>
      <c r="E25" s="8"/>
      <c r="F25" s="1">
        <f>VLOOKUP(C8,'3rd Term'!B9:AN48,14,FALSE)</f>
        <v>28</v>
      </c>
      <c r="G25" s="31">
        <f>VLOOKUP(C8,'3rd Term'!B9:AN48,15,FALSE)</f>
        <v>40</v>
      </c>
      <c r="H25" s="31">
        <f t="shared" si="1"/>
        <v>68</v>
      </c>
      <c r="I25" s="31">
        <f>(VLOOKUP(C8,'2nd Term'!B9:AN48,14,FALSE))+(VLOOKUP(C8,'2nd Term'!B9:AN48,15,FALSE))</f>
        <v>59</v>
      </c>
      <c r="J25" s="31">
        <f>(VLOOKUP($C$8,'1st Term'!$B$9:$AN$48,14,FALSE))+(VLOOKUP($C$8,'1st Term'!$B$9:$AN$48,15,FALSE))</f>
        <v>41</v>
      </c>
      <c r="K25" s="31">
        <f t="shared" si="2"/>
        <v>168</v>
      </c>
      <c r="L25" s="26">
        <f t="shared" si="0"/>
        <v>56</v>
      </c>
      <c r="M25" s="31" t="str">
        <f t="shared" si="3"/>
        <v>C</v>
      </c>
    </row>
    <row r="26" spans="1:13" ht="15" customHeight="1" x14ac:dyDescent="0.25">
      <c r="A26" s="20" t="s">
        <v>10</v>
      </c>
      <c r="B26" s="8"/>
      <c r="C26" s="8"/>
      <c r="D26" s="8"/>
      <c r="E26" s="8"/>
      <c r="F26" s="1">
        <f>VLOOKUP(C8,'3rd Term'!B9:AN48,16,FALSE)</f>
        <v>28</v>
      </c>
      <c r="G26" s="31">
        <f>VLOOKUP(C8,'3rd Term'!B9:AN48,17,FALSE)</f>
        <v>58</v>
      </c>
      <c r="H26" s="31">
        <f t="shared" si="1"/>
        <v>86</v>
      </c>
      <c r="I26" s="31">
        <f>(VLOOKUP(C8,'2nd Term'!B9:AN48,16,FALSE))+(VLOOKUP(C8,'2nd Term'!B9:AN48,17,FALSE))</f>
        <v>53</v>
      </c>
      <c r="J26" s="31">
        <f>(VLOOKUP($C$8,'1st Term'!$B$9:$AN$48,16,FALSE))+(VLOOKUP($C$8,'1st Term'!$B$9:$AN$48,17,FALSE))</f>
        <v>36</v>
      </c>
      <c r="K26" s="31">
        <f t="shared" si="2"/>
        <v>175</v>
      </c>
      <c r="L26" s="26">
        <f t="shared" si="0"/>
        <v>58.333333333333336</v>
      </c>
      <c r="M26" s="31" t="str">
        <f t="shared" si="3"/>
        <v>C</v>
      </c>
    </row>
    <row r="27" spans="1:13" ht="15" hidden="1" customHeight="1" x14ac:dyDescent="0.25">
      <c r="A27" s="20" t="s">
        <v>11</v>
      </c>
      <c r="B27" s="8"/>
      <c r="C27" s="8"/>
      <c r="D27" s="8"/>
      <c r="E27" s="8"/>
      <c r="F27" s="1">
        <f>VLOOKUP(C8,'3rd Term'!B9:AN48,18,FALSE)</f>
        <v>0</v>
      </c>
      <c r="G27" s="31">
        <f>VLOOKUP(C8,'3rd Term'!B9:AN48,19,FALSE)</f>
        <v>0</v>
      </c>
      <c r="H27" s="31">
        <f t="shared" si="1"/>
        <v>0</v>
      </c>
      <c r="I27" s="31">
        <f>(VLOOKUP(C8,'2nd Term'!B9:AN48,18,FALSE))+(VLOOKUP(C8,'2nd Term'!B9:AN48,19,FALSE))</f>
        <v>0</v>
      </c>
      <c r="J27" s="31">
        <f>(VLOOKUP($C$8,'1st Term'!$B$9:$AN$48,18,FALSE))+(VLOOKUP($C$8,'1st Term'!$B$9:$AN$48,19,FALSE))</f>
        <v>0</v>
      </c>
      <c r="K27" s="31" t="str">
        <f t="shared" si="2"/>
        <v>-</v>
      </c>
      <c r="L27" s="26" t="str">
        <f t="shared" si="0"/>
        <v>-</v>
      </c>
      <c r="M27" s="31" t="str">
        <f t="shared" si="3"/>
        <v>-</v>
      </c>
    </row>
    <row r="28" spans="1:13" ht="15" customHeight="1" x14ac:dyDescent="0.25">
      <c r="A28" s="20" t="s">
        <v>13</v>
      </c>
      <c r="B28" s="8"/>
      <c r="C28" s="8"/>
      <c r="D28" s="8"/>
      <c r="E28" s="8"/>
      <c r="F28" s="1">
        <f>VLOOKUP(C8,'3rd Term'!B9:AN48,20,FALSE)</f>
        <v>23</v>
      </c>
      <c r="G28" s="31">
        <f>VLOOKUP(C8,'3rd Term'!B9:AN48,21,FALSE)</f>
        <v>47</v>
      </c>
      <c r="H28" s="31">
        <f t="shared" si="1"/>
        <v>70</v>
      </c>
      <c r="I28" s="31">
        <f>(VLOOKUP(C8,'2nd Term'!B9:AN48,20,FALSE))+(VLOOKUP(C8,'2nd Term'!B9:AN48,21,FALSE))</f>
        <v>72</v>
      </c>
      <c r="J28" s="31">
        <f>(VLOOKUP($C$8,'1st Term'!$B$9:$AN$48,20,FALSE))+(VLOOKUP($C$8,'1st Term'!$B$9:$AN$48,21,FALSE))</f>
        <v>68</v>
      </c>
      <c r="K28" s="31">
        <f t="shared" si="2"/>
        <v>210</v>
      </c>
      <c r="L28" s="26">
        <f t="shared" si="0"/>
        <v>70</v>
      </c>
      <c r="M28" s="31" t="str">
        <f t="shared" si="3"/>
        <v>A</v>
      </c>
    </row>
    <row r="29" spans="1:13" x14ac:dyDescent="0.25">
      <c r="A29" s="20" t="s">
        <v>14</v>
      </c>
      <c r="B29" s="8"/>
      <c r="C29" s="8"/>
      <c r="D29" s="8"/>
      <c r="E29" s="8"/>
      <c r="F29" s="1">
        <f>VLOOKUP(C8,'3rd Term'!B9:AN48,22,FALSE)</f>
        <v>22</v>
      </c>
      <c r="G29" s="31">
        <f>VLOOKUP(C8,'3rd Term'!B9:AN48,23,FALSE)</f>
        <v>64</v>
      </c>
      <c r="H29" s="31">
        <f t="shared" si="1"/>
        <v>86</v>
      </c>
      <c r="I29" s="31">
        <f>(VLOOKUP(C8,'2nd Term'!B9:AN48,22,FALSE))+(VLOOKUP(C8,'2nd Term'!B9:AN48,23,FALSE))</f>
        <v>71</v>
      </c>
      <c r="J29" s="31">
        <f>(VLOOKUP($C$8,'1st Term'!$B$9:$AN$48,22,FALSE))+(VLOOKUP($C$8,'1st Term'!$B$9:$AN$48,23,FALSE))</f>
        <v>50</v>
      </c>
      <c r="K29" s="31">
        <f t="shared" si="2"/>
        <v>207</v>
      </c>
      <c r="L29" s="26">
        <f t="shared" si="0"/>
        <v>69</v>
      </c>
      <c r="M29" s="31" t="str">
        <f t="shared" si="3"/>
        <v>C</v>
      </c>
    </row>
    <row r="30" spans="1:13" x14ac:dyDescent="0.25">
      <c r="A30" s="20" t="s">
        <v>15</v>
      </c>
      <c r="B30" s="8"/>
      <c r="C30" s="8"/>
      <c r="D30" s="8"/>
      <c r="E30" s="8"/>
      <c r="F30" s="1">
        <f>VLOOKUP(C8,'3rd Term'!B9:AN48,24,FALSE)</f>
        <v>26</v>
      </c>
      <c r="G30" s="31">
        <f>VLOOKUP(C8,'3rd Term'!B9:AN48,25,FALSE)</f>
        <v>50</v>
      </c>
      <c r="H30" s="31">
        <f t="shared" si="1"/>
        <v>76</v>
      </c>
      <c r="I30" s="31">
        <f>(VLOOKUP(C8,'2nd Term'!B9:AN48,24,FALSE))+(VLOOKUP(C8,'2nd Term'!B9:AN48,25,FALSE))</f>
        <v>60</v>
      </c>
      <c r="J30" s="31">
        <f>(VLOOKUP($C$8,'1st Term'!$B$9:$AN$48,24,FALSE))+(VLOOKUP($C$8,'1st Term'!$B$9:$AN$48,25,FALSE))</f>
        <v>40</v>
      </c>
      <c r="K30" s="31">
        <f t="shared" si="2"/>
        <v>176</v>
      </c>
      <c r="L30" s="26">
        <f t="shared" si="0"/>
        <v>58.666666666666664</v>
      </c>
      <c r="M30" s="31" t="str">
        <f t="shared" si="3"/>
        <v>C</v>
      </c>
    </row>
    <row r="31" spans="1:13" hidden="1" x14ac:dyDescent="0.25">
      <c r="A31" s="20" t="s">
        <v>22</v>
      </c>
      <c r="B31" s="8"/>
      <c r="C31" s="8"/>
      <c r="D31" s="8"/>
      <c r="E31" s="8"/>
      <c r="F31" s="1">
        <f>VLOOKUP(C8,'3rd Term'!B9:AN48,26,FALSE)</f>
        <v>0</v>
      </c>
      <c r="G31" s="31">
        <f>VLOOKUP(C8,'3rd Term'!B9:AN48,27,FALSE)</f>
        <v>0</v>
      </c>
      <c r="H31" s="31">
        <f t="shared" si="1"/>
        <v>0</v>
      </c>
      <c r="I31" s="31">
        <f>(VLOOKUP(C8,'2nd Term'!B9:AN48,26,FALSE))+(VLOOKUP(C8,'2nd Term'!B9:AN48,27,FALSE))</f>
        <v>0</v>
      </c>
      <c r="J31" s="31">
        <f>(VLOOKUP($C$8,'1st Term'!$B$9:$AN$48,26,FALSE))+(VLOOKUP($C$8,'1st Term'!$B$9:$AN$48,27,FALSE))</f>
        <v>0</v>
      </c>
      <c r="K31" s="31" t="str">
        <f t="shared" si="2"/>
        <v>-</v>
      </c>
      <c r="L31" s="26" t="str">
        <f t="shared" si="0"/>
        <v>-</v>
      </c>
      <c r="M31" s="31" t="str">
        <f t="shared" si="3"/>
        <v>-</v>
      </c>
    </row>
    <row r="32" spans="1:13" x14ac:dyDescent="0.25">
      <c r="A32" s="20" t="s">
        <v>16</v>
      </c>
      <c r="B32" s="8"/>
      <c r="C32" s="8"/>
      <c r="D32" s="8"/>
      <c r="E32" s="8"/>
      <c r="F32" s="1">
        <f>VLOOKUP(C8,'3rd Term'!B9:AN48,28,FALSE)</f>
        <v>21</v>
      </c>
      <c r="G32" s="31">
        <f>VLOOKUP(C8,'3rd Term'!B9:AN48,29,FALSE)</f>
        <v>42</v>
      </c>
      <c r="H32" s="31">
        <f t="shared" si="1"/>
        <v>63</v>
      </c>
      <c r="I32" s="31">
        <f>(VLOOKUP(C8,'2nd Term'!B9:AN48,28,FALSE))+(VLOOKUP(C8,'2nd Term'!B9:AN48,29,FALSE))</f>
        <v>45</v>
      </c>
      <c r="J32" s="31">
        <f>(VLOOKUP($C$8,'1st Term'!$B$9:$AN$48,28,FALSE))+(VLOOKUP($C$8,'1st Term'!$B$9:$AN$48,29,FALSE))</f>
        <v>39</v>
      </c>
      <c r="K32" s="31">
        <f t="shared" si="2"/>
        <v>147</v>
      </c>
      <c r="L32" s="26">
        <f t="shared" si="0"/>
        <v>49</v>
      </c>
      <c r="M32" s="31" t="str">
        <f t="shared" si="3"/>
        <v>P</v>
      </c>
    </row>
    <row r="33" spans="1:13" x14ac:dyDescent="0.25">
      <c r="A33" s="20" t="s">
        <v>17</v>
      </c>
      <c r="B33" s="8"/>
      <c r="C33" s="8"/>
      <c r="D33" s="8"/>
      <c r="E33" s="8"/>
      <c r="F33" s="1">
        <f>VLOOKUP(C8,'3rd Term'!B9:AN48,30,FALSE)</f>
        <v>28</v>
      </c>
      <c r="G33" s="31">
        <f>VLOOKUP(C8,'3rd Term'!B9:AN48,31,FALSE)</f>
        <v>30</v>
      </c>
      <c r="H33" s="31">
        <f t="shared" si="1"/>
        <v>58</v>
      </c>
      <c r="I33" s="31">
        <f>(VLOOKUP(C8,'2nd Term'!B9:AN48,30,FALSE))+(VLOOKUP(C8,'2nd Term'!B9:AN48,31,FALSE))</f>
        <v>55</v>
      </c>
      <c r="J33" s="31">
        <f>(VLOOKUP($C$8,'1st Term'!$B$9:$AN$48,30,FALSE))+(VLOOKUP($C$8,'1st Term'!$B$9:$AN$48,31,FALSE))</f>
        <v>61</v>
      </c>
      <c r="K33" s="31">
        <f t="shared" si="2"/>
        <v>174</v>
      </c>
      <c r="L33" s="26">
        <f t="shared" si="0"/>
        <v>58</v>
      </c>
      <c r="M33" s="31" t="str">
        <f t="shared" si="3"/>
        <v>C</v>
      </c>
    </row>
    <row r="34" spans="1:13" x14ac:dyDescent="0.25">
      <c r="A34" s="20" t="s">
        <v>18</v>
      </c>
      <c r="B34" s="8"/>
      <c r="C34" s="8"/>
      <c r="D34" s="8"/>
      <c r="E34" s="8"/>
      <c r="F34" s="1">
        <f>VLOOKUP(C8,'3rd Term'!B9:AN48,32,FALSE)</f>
        <v>27</v>
      </c>
      <c r="G34" s="31">
        <f>VLOOKUP(C8,'3rd Term'!B9:AN48,33,FALSE)</f>
        <v>65</v>
      </c>
      <c r="H34" s="31">
        <f t="shared" si="1"/>
        <v>92</v>
      </c>
      <c r="I34" s="31">
        <f>(VLOOKUP(C8,'2nd Term'!B9:AN48,32,FALSE))+(VLOOKUP(C8,'2nd Term'!B9:AN48,33,FALSE))</f>
        <v>56</v>
      </c>
      <c r="J34" s="31">
        <f>(VLOOKUP($C$8,'1st Term'!$B$9:$AN$48,32,FALSE))+(VLOOKUP($C$8,'1st Term'!$B$9:$AN$48,33,FALSE))</f>
        <v>46</v>
      </c>
      <c r="K34" s="31">
        <f t="shared" si="2"/>
        <v>194</v>
      </c>
      <c r="L34" s="26">
        <f t="shared" si="0"/>
        <v>64.666666666666671</v>
      </c>
      <c r="M34" s="31" t="str">
        <f t="shared" si="3"/>
        <v>C</v>
      </c>
    </row>
    <row r="35" spans="1:13" x14ac:dyDescent="0.25">
      <c r="A35" s="20" t="s">
        <v>19</v>
      </c>
      <c r="B35" s="8"/>
      <c r="C35" s="8"/>
      <c r="D35" s="8"/>
      <c r="E35" s="8"/>
      <c r="F35" s="1">
        <f>VLOOKUP(C8,'3rd Term'!B9:AN48,34,FALSE)</f>
        <v>23</v>
      </c>
      <c r="G35" s="31">
        <f>VLOOKUP(C8,'3rd Term'!B9:AN48,35,FALSE)</f>
        <v>51</v>
      </c>
      <c r="H35" s="31">
        <f t="shared" si="1"/>
        <v>74</v>
      </c>
      <c r="I35" s="31">
        <f>(VLOOKUP(C8,'2nd Term'!B9:AN48,34,FALSE))+(VLOOKUP(C8,'2nd Term'!B9:AN48,35,FALSE))</f>
        <v>52</v>
      </c>
      <c r="J35" s="31">
        <f>(VLOOKUP($C$8,'1st Term'!$B$9:$AN$48,34,FALSE))+(VLOOKUP($C$8,'1st Term'!$B$9:$AN$48,35,FALSE))</f>
        <v>29</v>
      </c>
      <c r="K35" s="31">
        <f t="shared" si="2"/>
        <v>155</v>
      </c>
      <c r="L35" s="26">
        <f t="shared" si="0"/>
        <v>51.666666666666664</v>
      </c>
      <c r="M35" s="31" t="str">
        <f t="shared" si="3"/>
        <v>C</v>
      </c>
    </row>
    <row r="36" spans="1:13" x14ac:dyDescent="0.25">
      <c r="A36" s="20" t="s">
        <v>20</v>
      </c>
      <c r="B36" s="8"/>
      <c r="C36" s="8"/>
      <c r="D36" s="8"/>
      <c r="E36" s="8"/>
      <c r="F36" s="1">
        <f>VLOOKUP(C8,'3rd Term'!B9:AN48,36,FALSE)</f>
        <v>27</v>
      </c>
      <c r="G36" s="31">
        <f>VLOOKUP(C8,'3rd Term'!B9:AN48,37,FALSE)</f>
        <v>50</v>
      </c>
      <c r="H36" s="31">
        <f t="shared" si="1"/>
        <v>77</v>
      </c>
      <c r="I36" s="31">
        <f>(VLOOKUP(C8,'2nd Term'!B9:AN48,36,FALSE))+(VLOOKUP(C8,'2nd Term'!B9:AN48,37,FALSE))</f>
        <v>42</v>
      </c>
      <c r="J36" s="31">
        <f>(VLOOKUP($C$8,'1st Term'!$B$9:$AN$48,36,FALSE))+(VLOOKUP($C$8,'1st Term'!$B$9:$AN$48,37,FALSE))</f>
        <v>33</v>
      </c>
      <c r="K36" s="31">
        <f t="shared" si="2"/>
        <v>152</v>
      </c>
      <c r="L36" s="26">
        <f t="shared" si="0"/>
        <v>50.666666666666664</v>
      </c>
      <c r="M36" s="31" t="str">
        <f t="shared" si="3"/>
        <v>C</v>
      </c>
    </row>
    <row r="37" spans="1:13" x14ac:dyDescent="0.25">
      <c r="A37" s="18" t="s">
        <v>21</v>
      </c>
      <c r="B37" s="7"/>
      <c r="C37" s="7"/>
      <c r="D37" s="7"/>
      <c r="E37" s="7"/>
      <c r="F37" s="57">
        <f>VLOOKUP(C8,'3rd Term'!B9:AN48,38,FALSE)</f>
        <v>23</v>
      </c>
      <c r="G37" s="31">
        <f>VLOOKUP(C8,'3rd Term'!B9:AN48,39,FALSE)</f>
        <v>39</v>
      </c>
      <c r="H37" s="31">
        <f t="shared" si="1"/>
        <v>62</v>
      </c>
      <c r="I37" s="31">
        <f>(VLOOKUP(C8,'2nd Term'!B9:AN48,38,FALSE))+(VLOOKUP(C8,'2nd Term'!B9:AN48,39,FALSE))</f>
        <v>92</v>
      </c>
      <c r="J37" s="31">
        <f>(VLOOKUP($C$8,'1st Term'!$B$9:$AN$48,38,FALSE))+(VLOOKUP($C$8,'1st Term'!$B$9:$AN$48,39,FALSE))</f>
        <v>81</v>
      </c>
      <c r="K37" s="31">
        <f t="shared" si="2"/>
        <v>235</v>
      </c>
      <c r="L37" s="26">
        <f t="shared" si="0"/>
        <v>78.333333333333329</v>
      </c>
      <c r="M37" s="31" t="str">
        <f t="shared" si="3"/>
        <v>A</v>
      </c>
    </row>
    <row r="43" spans="1:13" x14ac:dyDescent="0.25">
      <c r="G43" s="110" t="s">
        <v>62</v>
      </c>
      <c r="H43" s="110"/>
      <c r="I43" s="110"/>
      <c r="J43" s="110"/>
      <c r="K43" s="110"/>
      <c r="L43" s="110"/>
      <c r="M43" s="110"/>
    </row>
    <row r="44" spans="1:13" x14ac:dyDescent="0.25">
      <c r="A44" s="77" t="s">
        <v>58</v>
      </c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</row>
    <row r="45" spans="1:13" ht="12.75" customHeight="1" x14ac:dyDescent="0.25">
      <c r="A45" s="50" t="str">
        <f>VLOOKUP(C8,comments!B8:X47,7,0)</f>
        <v>She is improving gradually but needs to participate more in class discussions.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</row>
    <row r="46" spans="1:13" x14ac:dyDescent="0.25">
      <c r="A46" s="50"/>
      <c r="B46" s="50"/>
      <c r="C46" s="50"/>
      <c r="D46" s="50"/>
      <c r="E46" s="50"/>
      <c r="F46" s="78"/>
      <c r="G46" s="78"/>
      <c r="H46" s="78"/>
      <c r="I46" s="78"/>
      <c r="J46" s="78"/>
      <c r="K46" s="78"/>
      <c r="L46" s="78"/>
      <c r="M46" s="78"/>
    </row>
    <row r="47" spans="1:13" x14ac:dyDescent="0.25">
      <c r="A47" s="79" t="s">
        <v>60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</row>
    <row r="48" spans="1:13" ht="12" customHeight="1" x14ac:dyDescent="0.25">
      <c r="A48" s="50" t="str">
        <f>VLOOKUP(C8,comments!B8:X47,14,0)</f>
        <v>Just fair. You can improve if only you will be more regular at school next term. Promoted to the Next Class.</v>
      </c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</row>
    <row r="49" spans="1:13" x14ac:dyDescent="0.25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</row>
    <row r="50" spans="1:13" x14ac:dyDescent="0.25">
      <c r="A50" s="79" t="s">
        <v>59</v>
      </c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</row>
    <row r="51" spans="1:13" ht="12" customHeight="1" x14ac:dyDescent="0.25">
      <c r="A51" s="78" t="s">
        <v>61</v>
      </c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</row>
  </sheetData>
  <sheetProtection algorithmName="SHA-512" hashValue="PPViWq6hfTyO2nVozD65CVkkBNR73BEFdqtJQPhPh+lEHM+6um8NfUdDjm3Cr1Ls0SO+8W+iwxYkCbaBMnoK0Q==" saltValue="MsO/QQXRa1qiwRyRsxJHWg==" spinCount="100000" sheet="1" scenarios="1"/>
  <mergeCells count="13">
    <mergeCell ref="I14:I17"/>
    <mergeCell ref="A18:B18"/>
    <mergeCell ref="G43:M43"/>
    <mergeCell ref="B1:M2"/>
    <mergeCell ref="B3:M3"/>
    <mergeCell ref="B4:M4"/>
    <mergeCell ref="B5:M6"/>
    <mergeCell ref="K7:M12"/>
    <mergeCell ref="A8:B8"/>
    <mergeCell ref="A9:B9"/>
    <mergeCell ref="A10:B10"/>
    <mergeCell ref="A11:B11"/>
    <mergeCell ref="A12:B12"/>
  </mergeCells>
  <conditionalFormatting sqref="M19:M37">
    <cfRule type="cellIs" dxfId="4" priority="3" operator="equal">
      <formula>"F"</formula>
    </cfRule>
    <cfRule type="cellIs" dxfId="3" priority="4" operator="equal">
      <formula>"P"</formula>
    </cfRule>
    <cfRule type="cellIs" dxfId="2" priority="5" operator="equal">
      <formula>"C"</formula>
    </cfRule>
    <cfRule type="cellIs" dxfId="1" priority="6" operator="equal">
      <formula>"A"</formula>
    </cfRule>
  </conditionalFormatting>
  <conditionalFormatting sqref="F19:J37">
    <cfRule type="cellIs" dxfId="0" priority="1" operator="equal">
      <formula>0</formula>
    </cfRule>
    <cfRule type="colorScale" priority="2">
      <colorScale>
        <cfvo type="min"/>
        <cfvo type="num" val="0"/>
        <color rgb="FFFF7128"/>
        <color theme="0"/>
      </colorScale>
    </cfRule>
  </conditionalFormatting>
  <dataValidations count="1">
    <dataValidation type="list" allowBlank="1" showInputMessage="1" showErrorMessage="1" sqref="M14:M17" xr:uid="{3A21D872-DD1A-484E-B6F8-E8C5917DA2DA}">
      <formula1>"A,B,C,D,E"</formula1>
    </dataValidation>
  </dataValidations>
  <printOptions horizontalCentered="1"/>
  <pageMargins left="0.2" right="0.2" top="0.25" bottom="0.25" header="0.3" footer="0.3"/>
  <pageSetup paperSize="9" fitToWidth="0" fitToHeight="0" orientation="portrait" r:id="rId1"/>
  <headerFooter>
    <oddFooter>&amp;L&amp;"-,Italic"&amp;KFF0000...Arise and shine&amp;R&amp;D, &amp;T&amp;F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LeaderBoard</vt:lpstr>
      <vt:lpstr>DataSet</vt:lpstr>
      <vt:lpstr>Pivot Table</vt:lpstr>
      <vt:lpstr>1st Term</vt:lpstr>
      <vt:lpstr>2nd Term</vt:lpstr>
      <vt:lpstr>3rd Term</vt:lpstr>
      <vt:lpstr>comments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 Easynett</dc:creator>
  <cp:lastModifiedBy>Sir easynett</cp:lastModifiedBy>
  <cp:lastPrinted>2026-05-31T19:01:09Z</cp:lastPrinted>
  <dcterms:created xsi:type="dcterms:W3CDTF">2019-07-29T16:13:47Z</dcterms:created>
  <dcterms:modified xsi:type="dcterms:W3CDTF">2026-05-31T19:06:35Z</dcterms:modified>
</cp:coreProperties>
</file>