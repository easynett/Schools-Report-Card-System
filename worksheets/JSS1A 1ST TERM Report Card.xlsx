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 easynett\Desktop\PROJECTS\Schools Report Card System\worksheet\"/>
    </mc:Choice>
  </mc:AlternateContent>
  <xr:revisionPtr revIDLastSave="0" documentId="13_ncr:1_{FA5A30DF-704F-41DB-8BBA-44A821124D10}" xr6:coauthVersionLast="47" xr6:coauthVersionMax="47" xr10:uidLastSave="{00000000-0000-0000-0000-000000000000}"/>
  <workbookProtection workbookAlgorithmName="SHA-512" workbookHashValue="WDIJyytox6KEGNchjuGZXjQb89UwooMkX43ae124Q1Zu+vzLjsVN4ordkDMfTYyGQKa39k2KGKuUMQkqx9QhJA==" workbookSaltValue="1OwN9EXypfRMXtKkBep3Ig==" workbookSpinCount="100000" lockStructure="1"/>
  <bookViews>
    <workbookView xWindow="-120" yWindow="-120" windowWidth="20730" windowHeight="11160" tabRatio="834" activeTab="2" xr2:uid="{00000000-000D-0000-FFFF-FFFF00000000}"/>
  </bookViews>
  <sheets>
    <sheet name="sheet1" sheetId="1" r:id="rId1"/>
    <sheet name="sheet2" sheetId="10" r:id="rId2"/>
    <sheet name="sheet3" sheetId="12" r:id="rId3"/>
    <sheet name="sheet4" sheetId="13" r:id="rId4"/>
    <sheet name="sheet5" sheetId="14" r:id="rId5"/>
    <sheet name="sheet6" sheetId="15" r:id="rId6"/>
    <sheet name="sheet7" sheetId="16" r:id="rId7"/>
    <sheet name="sheet8" sheetId="17" r:id="rId8"/>
    <sheet name="sheet9" sheetId="18" r:id="rId9"/>
    <sheet name="sheet10" sheetId="19" r:id="rId10"/>
    <sheet name="sheet11" sheetId="20" r:id="rId11"/>
    <sheet name="sheet12" sheetId="21" r:id="rId12"/>
    <sheet name="sheet13" sheetId="22" r:id="rId13"/>
    <sheet name="sheet14" sheetId="23" r:id="rId14"/>
    <sheet name="sheet15" sheetId="24" r:id="rId15"/>
    <sheet name="sheet16" sheetId="25" r:id="rId16"/>
    <sheet name="sheet17" sheetId="26" r:id="rId17"/>
    <sheet name="sheet18" sheetId="27" r:id="rId18"/>
    <sheet name="sheet19" sheetId="28" r:id="rId19"/>
    <sheet name="sheet20" sheetId="29" r:id="rId20"/>
    <sheet name="sheet21" sheetId="30" r:id="rId21"/>
    <sheet name="sheet22" sheetId="31" r:id="rId22"/>
    <sheet name="sheet23" sheetId="32" r:id="rId23"/>
    <sheet name="sheet24" sheetId="3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0" l="1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P40" i="1"/>
  <c r="D16" i="15" l="1"/>
  <c r="C9" i="33" l="1"/>
  <c r="C9" i="32"/>
  <c r="C9" i="31"/>
  <c r="C9" i="30"/>
  <c r="C9" i="29"/>
  <c r="C9" i="28"/>
  <c r="C9" i="27"/>
  <c r="C9" i="26"/>
  <c r="C9" i="25"/>
  <c r="C9" i="24"/>
  <c r="C9" i="23"/>
  <c r="C9" i="22"/>
  <c r="C9" i="21"/>
  <c r="C9" i="20"/>
  <c r="C9" i="19"/>
  <c r="C9" i="18"/>
  <c r="C9" i="17"/>
  <c r="C9" i="16"/>
  <c r="C9" i="15"/>
  <c r="C9" i="14"/>
  <c r="C9" i="13"/>
  <c r="D18" i="33" l="1"/>
  <c r="D16" i="33"/>
  <c r="C13" i="33"/>
  <c r="C12" i="33"/>
  <c r="C11" i="33"/>
  <c r="C10" i="33"/>
  <c r="H39" i="33"/>
  <c r="D18" i="32"/>
  <c r="D16" i="32"/>
  <c r="C13" i="32"/>
  <c r="C12" i="32"/>
  <c r="C11" i="32"/>
  <c r="C10" i="32"/>
  <c r="H38" i="32"/>
  <c r="D18" i="31"/>
  <c r="D16" i="31"/>
  <c r="C13" i="31"/>
  <c r="C12" i="31"/>
  <c r="C11" i="31"/>
  <c r="C10" i="31"/>
  <c r="H39" i="31"/>
  <c r="D18" i="30"/>
  <c r="D16" i="30"/>
  <c r="C13" i="30"/>
  <c r="C12" i="30"/>
  <c r="C11" i="30"/>
  <c r="C10" i="30"/>
  <c r="H39" i="30"/>
  <c r="D18" i="29"/>
  <c r="D16" i="29"/>
  <c r="C13" i="29"/>
  <c r="C12" i="29"/>
  <c r="C11" i="29"/>
  <c r="C10" i="29"/>
  <c r="H39" i="29"/>
  <c r="D18" i="28"/>
  <c r="D16" i="28"/>
  <c r="C13" i="28"/>
  <c r="C12" i="28"/>
  <c r="C11" i="28"/>
  <c r="C10" i="28"/>
  <c r="H39" i="28"/>
  <c r="D18" i="27"/>
  <c r="D16" i="27"/>
  <c r="C13" i="27"/>
  <c r="C12" i="27"/>
  <c r="C11" i="27"/>
  <c r="C10" i="27"/>
  <c r="H39" i="27"/>
  <c r="I37" i="26"/>
  <c r="I33" i="26"/>
  <c r="I29" i="26"/>
  <c r="I25" i="26"/>
  <c r="I21" i="26"/>
  <c r="D18" i="26"/>
  <c r="D16" i="26"/>
  <c r="C13" i="26"/>
  <c r="C12" i="26"/>
  <c r="C11" i="26"/>
  <c r="C10" i="26"/>
  <c r="I38" i="26"/>
  <c r="D18" i="25"/>
  <c r="D16" i="25"/>
  <c r="C13" i="25"/>
  <c r="C12" i="25"/>
  <c r="C11" i="25"/>
  <c r="C10" i="25"/>
  <c r="H39" i="25"/>
  <c r="D18" i="24"/>
  <c r="D16" i="24"/>
  <c r="C13" i="24"/>
  <c r="C12" i="24"/>
  <c r="C11" i="24"/>
  <c r="C10" i="24"/>
  <c r="H39" i="24"/>
  <c r="D18" i="23"/>
  <c r="D16" i="23"/>
  <c r="C13" i="23"/>
  <c r="C12" i="23"/>
  <c r="C11" i="23"/>
  <c r="C10" i="23"/>
  <c r="H39" i="23"/>
  <c r="D18" i="22"/>
  <c r="D16" i="22"/>
  <c r="C13" i="22"/>
  <c r="C12" i="22"/>
  <c r="C11" i="22"/>
  <c r="C10" i="22"/>
  <c r="H39" i="22"/>
  <c r="D18" i="21"/>
  <c r="D16" i="21"/>
  <c r="C13" i="21"/>
  <c r="C12" i="21"/>
  <c r="C11" i="21"/>
  <c r="C10" i="21"/>
  <c r="H39" i="21"/>
  <c r="D18" i="20"/>
  <c r="D16" i="20"/>
  <c r="C13" i="20"/>
  <c r="C12" i="20"/>
  <c r="C11" i="20"/>
  <c r="C10" i="20"/>
  <c r="H39" i="20"/>
  <c r="D18" i="19"/>
  <c r="D16" i="19"/>
  <c r="C13" i="19"/>
  <c r="C12" i="19"/>
  <c r="C11" i="19"/>
  <c r="C10" i="19"/>
  <c r="H39" i="19"/>
  <c r="D18" i="18"/>
  <c r="D16" i="18"/>
  <c r="C13" i="18"/>
  <c r="C12" i="18"/>
  <c r="C11" i="18"/>
  <c r="C10" i="18"/>
  <c r="H39" i="18"/>
  <c r="D18" i="17"/>
  <c r="D16" i="17"/>
  <c r="C13" i="17"/>
  <c r="C12" i="17"/>
  <c r="C11" i="17"/>
  <c r="C10" i="17"/>
  <c r="H39" i="17"/>
  <c r="D18" i="16"/>
  <c r="D16" i="16"/>
  <c r="C13" i="16"/>
  <c r="C12" i="16"/>
  <c r="C11" i="16"/>
  <c r="C10" i="16"/>
  <c r="H39" i="16"/>
  <c r="D18" i="15"/>
  <c r="C13" i="15"/>
  <c r="C12" i="15"/>
  <c r="C11" i="15"/>
  <c r="C10" i="15"/>
  <c r="H39" i="15"/>
  <c r="D18" i="14"/>
  <c r="D16" i="14"/>
  <c r="C13" i="14"/>
  <c r="C12" i="14"/>
  <c r="C11" i="14"/>
  <c r="C10" i="14"/>
  <c r="H39" i="14"/>
  <c r="D18" i="13"/>
  <c r="D16" i="13"/>
  <c r="C13" i="13"/>
  <c r="C12" i="13"/>
  <c r="C11" i="13"/>
  <c r="C10" i="13"/>
  <c r="H39" i="13"/>
  <c r="H22" i="26" l="1"/>
  <c r="H26" i="26"/>
  <c r="H30" i="26"/>
  <c r="H34" i="26"/>
  <c r="H38" i="26"/>
  <c r="I23" i="26"/>
  <c r="I27" i="26"/>
  <c r="I31" i="26"/>
  <c r="I35" i="26"/>
  <c r="I39" i="26"/>
  <c r="H24" i="26"/>
  <c r="H28" i="26"/>
  <c r="H32" i="26"/>
  <c r="H36" i="26"/>
  <c r="H23" i="32"/>
  <c r="H27" i="32"/>
  <c r="H29" i="32"/>
  <c r="H33" i="32"/>
  <c r="H35" i="32"/>
  <c r="H37" i="32"/>
  <c r="H39" i="32"/>
  <c r="I22" i="26"/>
  <c r="I24" i="26"/>
  <c r="I26" i="26"/>
  <c r="I28" i="26"/>
  <c r="I30" i="26"/>
  <c r="I32" i="26"/>
  <c r="I34" i="26"/>
  <c r="I36" i="26"/>
  <c r="H22" i="32"/>
  <c r="H24" i="32"/>
  <c r="H26" i="32"/>
  <c r="H28" i="32"/>
  <c r="H30" i="32"/>
  <c r="H32" i="32"/>
  <c r="H34" i="32"/>
  <c r="H36" i="32"/>
  <c r="H21" i="32"/>
  <c r="H25" i="32"/>
  <c r="H31" i="32"/>
  <c r="J38" i="26"/>
  <c r="K38" i="26" s="1"/>
  <c r="I21" i="32"/>
  <c r="I23" i="32"/>
  <c r="I25" i="32"/>
  <c r="I27" i="32"/>
  <c r="I29" i="32"/>
  <c r="I31" i="32"/>
  <c r="I33" i="32"/>
  <c r="I35" i="32"/>
  <c r="I37" i="32"/>
  <c r="I39" i="32"/>
  <c r="H21" i="26"/>
  <c r="J21" i="26" s="1"/>
  <c r="K21" i="26" s="1"/>
  <c r="H23" i="26"/>
  <c r="H25" i="26"/>
  <c r="J25" i="26" s="1"/>
  <c r="K25" i="26" s="1"/>
  <c r="H27" i="26"/>
  <c r="H29" i="26"/>
  <c r="J29" i="26" s="1"/>
  <c r="K29" i="26" s="1"/>
  <c r="H31" i="26"/>
  <c r="H33" i="26"/>
  <c r="J33" i="26" s="1"/>
  <c r="K33" i="26" s="1"/>
  <c r="H35" i="26"/>
  <c r="H37" i="26"/>
  <c r="J37" i="26" s="1"/>
  <c r="K37" i="26" s="1"/>
  <c r="H39" i="26"/>
  <c r="I22" i="32"/>
  <c r="I24" i="32"/>
  <c r="I26" i="32"/>
  <c r="I28" i="32"/>
  <c r="I30" i="32"/>
  <c r="I32" i="32"/>
  <c r="I34" i="32"/>
  <c r="I36" i="32"/>
  <c r="I38" i="32"/>
  <c r="J38" i="32" s="1"/>
  <c r="K38" i="32" s="1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J39" i="33" s="1"/>
  <c r="K39" i="33" s="1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J39" i="31" s="1"/>
  <c r="K39" i="31" s="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J39" i="30" s="1"/>
  <c r="K39" i="30" s="1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J39" i="29" s="1"/>
  <c r="K39" i="29" s="1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J39" i="28" s="1"/>
  <c r="K39" i="28" s="1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J39" i="27" s="1"/>
  <c r="K39" i="27" s="1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J39" i="25" s="1"/>
  <c r="K39" i="25" s="1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J39" i="24" s="1"/>
  <c r="K39" i="24" s="1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J39" i="23" s="1"/>
  <c r="K39" i="23" s="1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J39" i="22" s="1"/>
  <c r="K39" i="22" s="1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J39" i="21" s="1"/>
  <c r="K39" i="21" s="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J39" i="20" s="1"/>
  <c r="K39" i="20" s="1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J39" i="19" s="1"/>
  <c r="K39" i="19" s="1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J39" i="18" s="1"/>
  <c r="K39" i="18" s="1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J39" i="17" s="1"/>
  <c r="K39" i="17" s="1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J39" i="16" s="1"/>
  <c r="K39" i="16" s="1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J39" i="15" s="1"/>
  <c r="K39" i="15" s="1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J39" i="14" s="1"/>
  <c r="K39" i="14" s="1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J39" i="13" s="1"/>
  <c r="K39" i="13" s="1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C9" i="12"/>
  <c r="J22" i="26" l="1"/>
  <c r="K22" i="26" s="1"/>
  <c r="J35" i="28"/>
  <c r="K35" i="28" s="1"/>
  <c r="J31" i="28"/>
  <c r="K31" i="28" s="1"/>
  <c r="J27" i="28"/>
  <c r="K27" i="28" s="1"/>
  <c r="J23" i="28"/>
  <c r="K23" i="28" s="1"/>
  <c r="J36" i="29"/>
  <c r="K36" i="29" s="1"/>
  <c r="J32" i="29"/>
  <c r="K32" i="29" s="1"/>
  <c r="J28" i="29"/>
  <c r="K28" i="29" s="1"/>
  <c r="J24" i="29"/>
  <c r="K24" i="29" s="1"/>
  <c r="J37" i="30"/>
  <c r="K37" i="30" s="1"/>
  <c r="J33" i="30"/>
  <c r="K33" i="30" s="1"/>
  <c r="J29" i="30"/>
  <c r="K29" i="30" s="1"/>
  <c r="J25" i="30"/>
  <c r="K25" i="30" s="1"/>
  <c r="J21" i="30"/>
  <c r="K21" i="30" s="1"/>
  <c r="J38" i="31"/>
  <c r="K38" i="31" s="1"/>
  <c r="J34" i="31"/>
  <c r="K34" i="31" s="1"/>
  <c r="J30" i="31"/>
  <c r="K30" i="31" s="1"/>
  <c r="J26" i="31"/>
  <c r="K26" i="31" s="1"/>
  <c r="J22" i="31"/>
  <c r="K22" i="31" s="1"/>
  <c r="J35" i="33"/>
  <c r="K35" i="33" s="1"/>
  <c r="J31" i="33"/>
  <c r="K31" i="33" s="1"/>
  <c r="J27" i="33"/>
  <c r="K27" i="33" s="1"/>
  <c r="J23" i="33"/>
  <c r="K23" i="33" s="1"/>
  <c r="J35" i="16"/>
  <c r="K35" i="16" s="1"/>
  <c r="J31" i="16"/>
  <c r="K31" i="16" s="1"/>
  <c r="J27" i="16"/>
  <c r="K27" i="16" s="1"/>
  <c r="J23" i="16"/>
  <c r="K23" i="16" s="1"/>
  <c r="J37" i="22"/>
  <c r="K37" i="22" s="1"/>
  <c r="J33" i="22"/>
  <c r="K33" i="22" s="1"/>
  <c r="J29" i="22"/>
  <c r="K29" i="22" s="1"/>
  <c r="J25" i="22"/>
  <c r="K25" i="22" s="1"/>
  <c r="J21" i="22"/>
  <c r="K21" i="22" s="1"/>
  <c r="J37" i="27"/>
  <c r="K37" i="27" s="1"/>
  <c r="J33" i="27"/>
  <c r="K33" i="27" s="1"/>
  <c r="J29" i="27"/>
  <c r="K29" i="27" s="1"/>
  <c r="J25" i="27"/>
  <c r="K25" i="27" s="1"/>
  <c r="J21" i="27"/>
  <c r="K21" i="27" s="1"/>
  <c r="J27" i="32"/>
  <c r="K27" i="32" s="1"/>
  <c r="J26" i="26"/>
  <c r="K26" i="26" s="1"/>
  <c r="J35" i="26"/>
  <c r="K35" i="26" s="1"/>
  <c r="J32" i="26"/>
  <c r="K32" i="26" s="1"/>
  <c r="J38" i="18"/>
  <c r="K38" i="18" s="1"/>
  <c r="J34" i="18"/>
  <c r="K34" i="18" s="1"/>
  <c r="J30" i="18"/>
  <c r="K30" i="18" s="1"/>
  <c r="J26" i="18"/>
  <c r="K26" i="18" s="1"/>
  <c r="J22" i="18"/>
  <c r="K22" i="18" s="1"/>
  <c r="J35" i="19"/>
  <c r="K35" i="19" s="1"/>
  <c r="J31" i="19"/>
  <c r="K31" i="19" s="1"/>
  <c r="J27" i="19"/>
  <c r="K27" i="19" s="1"/>
  <c r="J23" i="19"/>
  <c r="K23" i="19" s="1"/>
  <c r="J36" i="20"/>
  <c r="K36" i="20" s="1"/>
  <c r="J32" i="20"/>
  <c r="K32" i="20" s="1"/>
  <c r="J28" i="20"/>
  <c r="K28" i="20" s="1"/>
  <c r="J24" i="20"/>
  <c r="K24" i="20" s="1"/>
  <c r="J37" i="21"/>
  <c r="K37" i="21" s="1"/>
  <c r="J33" i="21"/>
  <c r="K33" i="21" s="1"/>
  <c r="J29" i="21"/>
  <c r="K29" i="21" s="1"/>
  <c r="J25" i="21"/>
  <c r="K25" i="21" s="1"/>
  <c r="J21" i="21"/>
  <c r="K21" i="21" s="1"/>
  <c r="J35" i="23"/>
  <c r="K35" i="23" s="1"/>
  <c r="J31" i="23"/>
  <c r="K31" i="23" s="1"/>
  <c r="J27" i="23"/>
  <c r="K27" i="23" s="1"/>
  <c r="J23" i="23"/>
  <c r="K23" i="23" s="1"/>
  <c r="J36" i="24"/>
  <c r="K36" i="24" s="1"/>
  <c r="J32" i="24"/>
  <c r="K32" i="24" s="1"/>
  <c r="J28" i="24"/>
  <c r="K28" i="24" s="1"/>
  <c r="J24" i="24"/>
  <c r="K24" i="24" s="1"/>
  <c r="J37" i="25"/>
  <c r="K37" i="25" s="1"/>
  <c r="J29" i="25"/>
  <c r="K29" i="25" s="1"/>
  <c r="J25" i="25"/>
  <c r="K25" i="25" s="1"/>
  <c r="J21" i="25"/>
  <c r="K21" i="25" s="1"/>
  <c r="J36" i="28"/>
  <c r="K36" i="28" s="1"/>
  <c r="J32" i="28"/>
  <c r="K32" i="28" s="1"/>
  <c r="J28" i="28"/>
  <c r="K28" i="28" s="1"/>
  <c r="J24" i="28"/>
  <c r="K24" i="28" s="1"/>
  <c r="J37" i="29"/>
  <c r="K37" i="29" s="1"/>
  <c r="J33" i="29"/>
  <c r="K33" i="29" s="1"/>
  <c r="J29" i="29"/>
  <c r="K29" i="29" s="1"/>
  <c r="J25" i="29"/>
  <c r="K25" i="29" s="1"/>
  <c r="J21" i="29"/>
  <c r="K21" i="29" s="1"/>
  <c r="J38" i="30"/>
  <c r="K38" i="30" s="1"/>
  <c r="J34" i="30"/>
  <c r="K34" i="30" s="1"/>
  <c r="J30" i="30"/>
  <c r="K30" i="30" s="1"/>
  <c r="J26" i="30"/>
  <c r="K26" i="30" s="1"/>
  <c r="J22" i="30"/>
  <c r="K22" i="30" s="1"/>
  <c r="J35" i="31"/>
  <c r="K35" i="31" s="1"/>
  <c r="J31" i="31"/>
  <c r="K31" i="31" s="1"/>
  <c r="J27" i="31"/>
  <c r="K27" i="31" s="1"/>
  <c r="J23" i="31"/>
  <c r="K23" i="31" s="1"/>
  <c r="J36" i="33"/>
  <c r="K36" i="33" s="1"/>
  <c r="J32" i="33"/>
  <c r="K32" i="33" s="1"/>
  <c r="J28" i="33"/>
  <c r="K28" i="33" s="1"/>
  <c r="J39" i="26"/>
  <c r="K39" i="26" s="1"/>
  <c r="J23" i="26"/>
  <c r="K23" i="26" s="1"/>
  <c r="J36" i="26"/>
  <c r="K36" i="26" s="1"/>
  <c r="J34" i="26"/>
  <c r="K34" i="26" s="1"/>
  <c r="J24" i="26"/>
  <c r="K24" i="26" s="1"/>
  <c r="J38" i="27"/>
  <c r="K38" i="27" s="1"/>
  <c r="J34" i="27"/>
  <c r="K34" i="27" s="1"/>
  <c r="J30" i="27"/>
  <c r="K30" i="27" s="1"/>
  <c r="J22" i="27"/>
  <c r="K22" i="27" s="1"/>
  <c r="J27" i="26"/>
  <c r="K27" i="26" s="1"/>
  <c r="J30" i="26"/>
  <c r="K30" i="26" s="1"/>
  <c r="J36" i="25"/>
  <c r="K36" i="25" s="1"/>
  <c r="J32" i="25"/>
  <c r="K32" i="25" s="1"/>
  <c r="J28" i="25"/>
  <c r="K28" i="25" s="1"/>
  <c r="J24" i="25"/>
  <c r="K24" i="25" s="1"/>
  <c r="J35" i="24"/>
  <c r="K35" i="24" s="1"/>
  <c r="J31" i="24"/>
  <c r="K31" i="24" s="1"/>
  <c r="J27" i="24"/>
  <c r="K27" i="24" s="1"/>
  <c r="J23" i="24"/>
  <c r="K23" i="24" s="1"/>
  <c r="J38" i="23"/>
  <c r="K38" i="23" s="1"/>
  <c r="J34" i="23"/>
  <c r="K34" i="23" s="1"/>
  <c r="J30" i="23"/>
  <c r="K30" i="23" s="1"/>
  <c r="J26" i="23"/>
  <c r="K26" i="23" s="1"/>
  <c r="J22" i="23"/>
  <c r="K22" i="23" s="1"/>
  <c r="J38" i="22"/>
  <c r="K38" i="22" s="1"/>
  <c r="J34" i="22"/>
  <c r="K34" i="22" s="1"/>
  <c r="J30" i="22"/>
  <c r="K30" i="22" s="1"/>
  <c r="J26" i="22"/>
  <c r="K26" i="22" s="1"/>
  <c r="J22" i="22"/>
  <c r="K22" i="22" s="1"/>
  <c r="J36" i="21"/>
  <c r="K36" i="21" s="1"/>
  <c r="J32" i="21"/>
  <c r="K32" i="21" s="1"/>
  <c r="J28" i="21"/>
  <c r="K28" i="21" s="1"/>
  <c r="J24" i="21"/>
  <c r="K24" i="21" s="1"/>
  <c r="J35" i="20"/>
  <c r="K35" i="20" s="1"/>
  <c r="J31" i="20"/>
  <c r="K31" i="20" s="1"/>
  <c r="J27" i="20"/>
  <c r="K27" i="20" s="1"/>
  <c r="J23" i="20"/>
  <c r="K23" i="20" s="1"/>
  <c r="J38" i="19"/>
  <c r="K38" i="19" s="1"/>
  <c r="J30" i="19"/>
  <c r="K30" i="19" s="1"/>
  <c r="J26" i="19"/>
  <c r="K26" i="19" s="1"/>
  <c r="J34" i="19"/>
  <c r="K34" i="19" s="1"/>
  <c r="J22" i="19"/>
  <c r="K22" i="19" s="1"/>
  <c r="J33" i="18"/>
  <c r="K33" i="18" s="1"/>
  <c r="J21" i="18"/>
  <c r="K21" i="18" s="1"/>
  <c r="J37" i="18"/>
  <c r="K37" i="18" s="1"/>
  <c r="J29" i="18"/>
  <c r="K29" i="18" s="1"/>
  <c r="J25" i="18"/>
  <c r="K25" i="18" s="1"/>
  <c r="J36" i="17"/>
  <c r="K36" i="17" s="1"/>
  <c r="J32" i="17"/>
  <c r="K32" i="17" s="1"/>
  <c r="J28" i="17"/>
  <c r="K28" i="17" s="1"/>
  <c r="J24" i="17"/>
  <c r="K24" i="17" s="1"/>
  <c r="J38" i="15"/>
  <c r="K38" i="15" s="1"/>
  <c r="J30" i="15"/>
  <c r="K30" i="15" s="1"/>
  <c r="J22" i="15"/>
  <c r="K22" i="15" s="1"/>
  <c r="J34" i="15"/>
  <c r="K34" i="15" s="1"/>
  <c r="J26" i="15"/>
  <c r="K26" i="15" s="1"/>
  <c r="J37" i="14"/>
  <c r="K37" i="14" s="1"/>
  <c r="J33" i="14"/>
  <c r="K33" i="14" s="1"/>
  <c r="J29" i="14"/>
  <c r="K29" i="14" s="1"/>
  <c r="J25" i="14"/>
  <c r="K25" i="14" s="1"/>
  <c r="J21" i="14"/>
  <c r="K21" i="14" s="1"/>
  <c r="J36" i="13"/>
  <c r="K36" i="13" s="1"/>
  <c r="J32" i="13"/>
  <c r="K32" i="13" s="1"/>
  <c r="J28" i="13"/>
  <c r="K28" i="13" s="1"/>
  <c r="J24" i="13"/>
  <c r="K24" i="13" s="1"/>
  <c r="J35" i="13"/>
  <c r="K35" i="13" s="1"/>
  <c r="J23" i="13"/>
  <c r="K23" i="13" s="1"/>
  <c r="J36" i="14"/>
  <c r="K36" i="14" s="1"/>
  <c r="J28" i="14"/>
  <c r="K28" i="14" s="1"/>
  <c r="J38" i="13"/>
  <c r="K38" i="13" s="1"/>
  <c r="J30" i="13"/>
  <c r="K30" i="13" s="1"/>
  <c r="J22" i="13"/>
  <c r="K22" i="13" s="1"/>
  <c r="J35" i="14"/>
  <c r="K35" i="14" s="1"/>
  <c r="J27" i="14"/>
  <c r="K27" i="14" s="1"/>
  <c r="J32" i="15"/>
  <c r="K32" i="15" s="1"/>
  <c r="J27" i="13"/>
  <c r="K27" i="13" s="1"/>
  <c r="J37" i="15"/>
  <c r="K37" i="15" s="1"/>
  <c r="J33" i="15"/>
  <c r="K33" i="15" s="1"/>
  <c r="J29" i="15"/>
  <c r="K29" i="15" s="1"/>
  <c r="J25" i="15"/>
  <c r="K25" i="15" s="1"/>
  <c r="J21" i="15"/>
  <c r="K21" i="15" s="1"/>
  <c r="J38" i="16"/>
  <c r="K38" i="16" s="1"/>
  <c r="J34" i="16"/>
  <c r="K34" i="16" s="1"/>
  <c r="J30" i="16"/>
  <c r="K30" i="16" s="1"/>
  <c r="J26" i="16"/>
  <c r="K26" i="16" s="1"/>
  <c r="J22" i="16"/>
  <c r="K22" i="16" s="1"/>
  <c r="J35" i="17"/>
  <c r="K35" i="17" s="1"/>
  <c r="J31" i="17"/>
  <c r="K31" i="17" s="1"/>
  <c r="J27" i="17"/>
  <c r="K27" i="17" s="1"/>
  <c r="J23" i="17"/>
  <c r="K23" i="17" s="1"/>
  <c r="J31" i="13"/>
  <c r="K31" i="13" s="1"/>
  <c r="J32" i="14"/>
  <c r="K32" i="14" s="1"/>
  <c r="J24" i="14"/>
  <c r="K24" i="14" s="1"/>
  <c r="J34" i="13"/>
  <c r="K34" i="13" s="1"/>
  <c r="J26" i="13"/>
  <c r="K26" i="13" s="1"/>
  <c r="J31" i="14"/>
  <c r="K31" i="14" s="1"/>
  <c r="J23" i="14"/>
  <c r="K23" i="14" s="1"/>
  <c r="J36" i="15"/>
  <c r="K36" i="15" s="1"/>
  <c r="J28" i="15"/>
  <c r="K28" i="15" s="1"/>
  <c r="J24" i="15"/>
  <c r="K24" i="15" s="1"/>
  <c r="J37" i="16"/>
  <c r="K37" i="16" s="1"/>
  <c r="J33" i="16"/>
  <c r="K33" i="16" s="1"/>
  <c r="J29" i="16"/>
  <c r="K29" i="16" s="1"/>
  <c r="J25" i="16"/>
  <c r="K25" i="16" s="1"/>
  <c r="J21" i="16"/>
  <c r="K21" i="16" s="1"/>
  <c r="J38" i="17"/>
  <c r="K38" i="17" s="1"/>
  <c r="J34" i="17"/>
  <c r="K34" i="17" s="1"/>
  <c r="J30" i="17"/>
  <c r="K30" i="17" s="1"/>
  <c r="J26" i="17"/>
  <c r="K26" i="17" s="1"/>
  <c r="J32" i="18"/>
  <c r="K32" i="18" s="1"/>
  <c r="J29" i="19"/>
  <c r="K29" i="19" s="1"/>
  <c r="J21" i="19"/>
  <c r="K21" i="19" s="1"/>
  <c r="J34" i="20"/>
  <c r="K34" i="20" s="1"/>
  <c r="J26" i="20"/>
  <c r="K26" i="20" s="1"/>
  <c r="J35" i="21"/>
  <c r="K35" i="21" s="1"/>
  <c r="J31" i="21"/>
  <c r="K31" i="21" s="1"/>
  <c r="J23" i="21"/>
  <c r="K23" i="21" s="1"/>
  <c r="J36" i="22"/>
  <c r="K36" i="22" s="1"/>
  <c r="J32" i="22"/>
  <c r="K32" i="22" s="1"/>
  <c r="J28" i="22"/>
  <c r="K28" i="22" s="1"/>
  <c r="J24" i="22"/>
  <c r="K24" i="22" s="1"/>
  <c r="J37" i="23"/>
  <c r="K37" i="23" s="1"/>
  <c r="J33" i="23"/>
  <c r="K33" i="23" s="1"/>
  <c r="J29" i="23"/>
  <c r="K29" i="23" s="1"/>
  <c r="J25" i="23"/>
  <c r="K25" i="23" s="1"/>
  <c r="J21" i="23"/>
  <c r="K21" i="23" s="1"/>
  <c r="J38" i="24"/>
  <c r="K38" i="24" s="1"/>
  <c r="J34" i="24"/>
  <c r="K34" i="24" s="1"/>
  <c r="J30" i="24"/>
  <c r="K30" i="24" s="1"/>
  <c r="J26" i="24"/>
  <c r="K26" i="24" s="1"/>
  <c r="J22" i="24"/>
  <c r="K22" i="24" s="1"/>
  <c r="J35" i="25"/>
  <c r="K35" i="25" s="1"/>
  <c r="J31" i="25"/>
  <c r="K31" i="25" s="1"/>
  <c r="J27" i="25"/>
  <c r="K27" i="25" s="1"/>
  <c r="J23" i="25"/>
  <c r="K23" i="25" s="1"/>
  <c r="J36" i="27"/>
  <c r="K36" i="27" s="1"/>
  <c r="J32" i="27"/>
  <c r="K32" i="27" s="1"/>
  <c r="J28" i="27"/>
  <c r="K28" i="27" s="1"/>
  <c r="J24" i="27"/>
  <c r="K24" i="27" s="1"/>
  <c r="J38" i="28"/>
  <c r="K38" i="28" s="1"/>
  <c r="J34" i="28"/>
  <c r="K34" i="28" s="1"/>
  <c r="J30" i="28"/>
  <c r="K30" i="28" s="1"/>
  <c r="J26" i="28"/>
  <c r="K26" i="28" s="1"/>
  <c r="J22" i="28"/>
  <c r="K22" i="28" s="1"/>
  <c r="J35" i="29"/>
  <c r="K35" i="29" s="1"/>
  <c r="J31" i="29"/>
  <c r="K31" i="29" s="1"/>
  <c r="J27" i="29"/>
  <c r="K27" i="29" s="1"/>
  <c r="J23" i="29"/>
  <c r="K23" i="29" s="1"/>
  <c r="J36" i="30"/>
  <c r="K36" i="30" s="1"/>
  <c r="J32" i="30"/>
  <c r="K32" i="30" s="1"/>
  <c r="J28" i="30"/>
  <c r="K28" i="30" s="1"/>
  <c r="J24" i="30"/>
  <c r="K24" i="30" s="1"/>
  <c r="J37" i="31"/>
  <c r="K37" i="31" s="1"/>
  <c r="J33" i="31"/>
  <c r="K33" i="31" s="1"/>
  <c r="J29" i="31"/>
  <c r="K29" i="31" s="1"/>
  <c r="J25" i="31"/>
  <c r="K25" i="31" s="1"/>
  <c r="J21" i="31"/>
  <c r="K21" i="31" s="1"/>
  <c r="J38" i="33"/>
  <c r="K38" i="33" s="1"/>
  <c r="J34" i="33"/>
  <c r="K34" i="33" s="1"/>
  <c r="J30" i="33"/>
  <c r="K30" i="33" s="1"/>
  <c r="J26" i="33"/>
  <c r="K26" i="33" s="1"/>
  <c r="J22" i="33"/>
  <c r="K22" i="33" s="1"/>
  <c r="J22" i="17"/>
  <c r="K22" i="17" s="1"/>
  <c r="J36" i="18"/>
  <c r="K36" i="18" s="1"/>
  <c r="J28" i="18"/>
  <c r="K28" i="18" s="1"/>
  <c r="J24" i="18"/>
  <c r="K24" i="18" s="1"/>
  <c r="J37" i="19"/>
  <c r="K37" i="19" s="1"/>
  <c r="J33" i="19"/>
  <c r="K33" i="19" s="1"/>
  <c r="J25" i="19"/>
  <c r="K25" i="19" s="1"/>
  <c r="J38" i="20"/>
  <c r="K38" i="20" s="1"/>
  <c r="J30" i="20"/>
  <c r="K30" i="20" s="1"/>
  <c r="J22" i="20"/>
  <c r="K22" i="20" s="1"/>
  <c r="J27" i="21"/>
  <c r="K27" i="21" s="1"/>
  <c r="J37" i="13"/>
  <c r="K37" i="13" s="1"/>
  <c r="J33" i="13"/>
  <c r="K33" i="13" s="1"/>
  <c r="J29" i="13"/>
  <c r="K29" i="13" s="1"/>
  <c r="J25" i="13"/>
  <c r="K25" i="13" s="1"/>
  <c r="J21" i="13"/>
  <c r="K21" i="13" s="1"/>
  <c r="J38" i="14"/>
  <c r="K38" i="14" s="1"/>
  <c r="J34" i="14"/>
  <c r="K34" i="14" s="1"/>
  <c r="J30" i="14"/>
  <c r="K30" i="14" s="1"/>
  <c r="J26" i="14"/>
  <c r="K26" i="14" s="1"/>
  <c r="J22" i="14"/>
  <c r="K22" i="14" s="1"/>
  <c r="J35" i="15"/>
  <c r="K35" i="15" s="1"/>
  <c r="J31" i="15"/>
  <c r="K31" i="15" s="1"/>
  <c r="J27" i="15"/>
  <c r="K27" i="15" s="1"/>
  <c r="J23" i="15"/>
  <c r="K23" i="15" s="1"/>
  <c r="J36" i="16"/>
  <c r="K36" i="16" s="1"/>
  <c r="J32" i="16"/>
  <c r="K32" i="16" s="1"/>
  <c r="J28" i="16"/>
  <c r="K28" i="16" s="1"/>
  <c r="J24" i="16"/>
  <c r="K24" i="16" s="1"/>
  <c r="J37" i="17"/>
  <c r="K37" i="17" s="1"/>
  <c r="J33" i="17"/>
  <c r="K33" i="17" s="1"/>
  <c r="J29" i="17"/>
  <c r="K29" i="17" s="1"/>
  <c r="J25" i="17"/>
  <c r="K25" i="17" s="1"/>
  <c r="J21" i="17"/>
  <c r="K21" i="17" s="1"/>
  <c r="J35" i="18"/>
  <c r="K35" i="18" s="1"/>
  <c r="J31" i="18"/>
  <c r="K31" i="18" s="1"/>
  <c r="J27" i="18"/>
  <c r="K27" i="18" s="1"/>
  <c r="J23" i="18"/>
  <c r="K23" i="18" s="1"/>
  <c r="J36" i="19"/>
  <c r="K36" i="19" s="1"/>
  <c r="J32" i="19"/>
  <c r="K32" i="19" s="1"/>
  <c r="J28" i="19"/>
  <c r="K28" i="19" s="1"/>
  <c r="J24" i="19"/>
  <c r="K24" i="19" s="1"/>
  <c r="J37" i="20"/>
  <c r="K37" i="20" s="1"/>
  <c r="J33" i="20"/>
  <c r="K33" i="20" s="1"/>
  <c r="J29" i="20"/>
  <c r="K29" i="20" s="1"/>
  <c r="J25" i="20"/>
  <c r="K25" i="20" s="1"/>
  <c r="J21" i="20"/>
  <c r="K21" i="20" s="1"/>
  <c r="J38" i="21"/>
  <c r="K38" i="21" s="1"/>
  <c r="J34" i="21"/>
  <c r="K34" i="21" s="1"/>
  <c r="J30" i="21"/>
  <c r="K30" i="21" s="1"/>
  <c r="J26" i="21"/>
  <c r="K26" i="21" s="1"/>
  <c r="J22" i="21"/>
  <c r="K22" i="21" s="1"/>
  <c r="J35" i="22"/>
  <c r="K35" i="22" s="1"/>
  <c r="J31" i="22"/>
  <c r="K31" i="22" s="1"/>
  <c r="J27" i="22"/>
  <c r="K27" i="22" s="1"/>
  <c r="J23" i="22"/>
  <c r="K23" i="22" s="1"/>
  <c r="J36" i="23"/>
  <c r="K36" i="23" s="1"/>
  <c r="J32" i="23"/>
  <c r="K32" i="23" s="1"/>
  <c r="J28" i="23"/>
  <c r="K28" i="23" s="1"/>
  <c r="J24" i="23"/>
  <c r="K24" i="23" s="1"/>
  <c r="J37" i="24"/>
  <c r="K37" i="24" s="1"/>
  <c r="J33" i="24"/>
  <c r="K33" i="24" s="1"/>
  <c r="J29" i="24"/>
  <c r="K29" i="24" s="1"/>
  <c r="J25" i="24"/>
  <c r="K25" i="24" s="1"/>
  <c r="J21" i="24"/>
  <c r="K21" i="24" s="1"/>
  <c r="J38" i="25"/>
  <c r="K38" i="25" s="1"/>
  <c r="J34" i="25"/>
  <c r="K34" i="25" s="1"/>
  <c r="J30" i="25"/>
  <c r="K30" i="25" s="1"/>
  <c r="J26" i="25"/>
  <c r="K26" i="25" s="1"/>
  <c r="J22" i="25"/>
  <c r="K22" i="25" s="1"/>
  <c r="J35" i="27"/>
  <c r="K35" i="27" s="1"/>
  <c r="J31" i="27"/>
  <c r="K31" i="27" s="1"/>
  <c r="J27" i="27"/>
  <c r="K27" i="27" s="1"/>
  <c r="J23" i="27"/>
  <c r="K23" i="27" s="1"/>
  <c r="J37" i="28"/>
  <c r="K37" i="28" s="1"/>
  <c r="J33" i="28"/>
  <c r="K33" i="28" s="1"/>
  <c r="J29" i="28"/>
  <c r="K29" i="28" s="1"/>
  <c r="J25" i="28"/>
  <c r="K25" i="28" s="1"/>
  <c r="J21" i="28"/>
  <c r="K21" i="28" s="1"/>
  <c r="J38" i="29"/>
  <c r="K38" i="29" s="1"/>
  <c r="J34" i="29"/>
  <c r="K34" i="29" s="1"/>
  <c r="J30" i="29"/>
  <c r="K30" i="29" s="1"/>
  <c r="J26" i="29"/>
  <c r="K26" i="29" s="1"/>
  <c r="J22" i="29"/>
  <c r="K22" i="29" s="1"/>
  <c r="J35" i="30"/>
  <c r="K35" i="30" s="1"/>
  <c r="J31" i="30"/>
  <c r="K31" i="30" s="1"/>
  <c r="J27" i="30"/>
  <c r="K27" i="30" s="1"/>
  <c r="J23" i="30"/>
  <c r="K23" i="30" s="1"/>
  <c r="J36" i="31"/>
  <c r="K36" i="31" s="1"/>
  <c r="J32" i="31"/>
  <c r="K32" i="31" s="1"/>
  <c r="J28" i="31"/>
  <c r="K28" i="31" s="1"/>
  <c r="J24" i="31"/>
  <c r="K24" i="31" s="1"/>
  <c r="J37" i="33"/>
  <c r="K37" i="33" s="1"/>
  <c r="J33" i="33"/>
  <c r="K33" i="33" s="1"/>
  <c r="J29" i="33"/>
  <c r="K29" i="33" s="1"/>
  <c r="J25" i="33"/>
  <c r="K25" i="33" s="1"/>
  <c r="J21" i="33"/>
  <c r="K21" i="33" s="1"/>
  <c r="J31" i="26"/>
  <c r="K31" i="26" s="1"/>
  <c r="J28" i="26"/>
  <c r="K28" i="26" s="1"/>
  <c r="J29" i="32"/>
  <c r="K29" i="32" s="1"/>
  <c r="J24" i="33"/>
  <c r="K24" i="33" s="1"/>
  <c r="J30" i="32"/>
  <c r="K30" i="32" s="1"/>
  <c r="J22" i="32"/>
  <c r="K22" i="32" s="1"/>
  <c r="J39" i="32"/>
  <c r="K39" i="32" s="1"/>
  <c r="J31" i="32"/>
  <c r="K31" i="32" s="1"/>
  <c r="J36" i="32"/>
  <c r="K36" i="32" s="1"/>
  <c r="J28" i="32"/>
  <c r="K28" i="32" s="1"/>
  <c r="J37" i="32"/>
  <c r="K37" i="32" s="1"/>
  <c r="J33" i="25"/>
  <c r="K33" i="25" s="1"/>
  <c r="J25" i="32"/>
  <c r="K25" i="32" s="1"/>
  <c r="J34" i="32"/>
  <c r="K34" i="32" s="1"/>
  <c r="J26" i="32"/>
  <c r="K26" i="32" s="1"/>
  <c r="J35" i="32"/>
  <c r="K35" i="32" s="1"/>
  <c r="J23" i="32"/>
  <c r="K23" i="32" s="1"/>
  <c r="J21" i="32"/>
  <c r="K21" i="32" s="1"/>
  <c r="J32" i="32"/>
  <c r="K32" i="32" s="1"/>
  <c r="J24" i="32"/>
  <c r="K24" i="32" s="1"/>
  <c r="J33" i="32"/>
  <c r="K33" i="32" s="1"/>
  <c r="J26" i="27"/>
  <c r="K26" i="27" s="1"/>
  <c r="AO9" i="1"/>
  <c r="I38" i="12"/>
  <c r="AP9" i="1" l="1"/>
  <c r="D8" i="10" s="1"/>
  <c r="H30" i="12"/>
  <c r="H38" i="12"/>
  <c r="J38" i="12" s="1"/>
  <c r="K38" i="12" s="1"/>
  <c r="I31" i="12"/>
  <c r="I39" i="12"/>
  <c r="H31" i="12"/>
  <c r="H39" i="12"/>
  <c r="I36" i="12"/>
  <c r="I24" i="12"/>
  <c r="H28" i="12"/>
  <c r="H32" i="12"/>
  <c r="H36" i="12"/>
  <c r="I25" i="12"/>
  <c r="I29" i="12"/>
  <c r="I33" i="12"/>
  <c r="I37" i="12"/>
  <c r="H26" i="12"/>
  <c r="H34" i="12"/>
  <c r="I27" i="12"/>
  <c r="I35" i="12"/>
  <c r="H27" i="12"/>
  <c r="H35" i="12"/>
  <c r="I28" i="12"/>
  <c r="I32" i="12"/>
  <c r="H25" i="12"/>
  <c r="H29" i="12"/>
  <c r="J29" i="12" s="1"/>
  <c r="K29" i="12" s="1"/>
  <c r="H33" i="12"/>
  <c r="H37" i="12"/>
  <c r="J37" i="12" s="1"/>
  <c r="K37" i="12" s="1"/>
  <c r="I26" i="12"/>
  <c r="I30" i="12"/>
  <c r="J30" i="12" s="1"/>
  <c r="K30" i="12" s="1"/>
  <c r="I34" i="12"/>
  <c r="I23" i="12"/>
  <c r="H24" i="12"/>
  <c r="H23" i="12"/>
  <c r="H22" i="12"/>
  <c r="I22" i="12"/>
  <c r="H21" i="12"/>
  <c r="I21" i="12"/>
  <c r="J36" i="12" l="1"/>
  <c r="K36" i="12" s="1"/>
  <c r="J33" i="12"/>
  <c r="K33" i="12" s="1"/>
  <c r="J32" i="12"/>
  <c r="K32" i="12" s="1"/>
  <c r="J34" i="12"/>
  <c r="K34" i="12" s="1"/>
  <c r="J28" i="12"/>
  <c r="K28" i="12" s="1"/>
  <c r="J35" i="12"/>
  <c r="K35" i="12" s="1"/>
  <c r="J25" i="12"/>
  <c r="K25" i="12" s="1"/>
  <c r="J27" i="12"/>
  <c r="K27" i="12" s="1"/>
  <c r="J39" i="12"/>
  <c r="K39" i="12" s="1"/>
  <c r="J31" i="12"/>
  <c r="K31" i="12" s="1"/>
  <c r="J24" i="12"/>
  <c r="K24" i="12" s="1"/>
  <c r="J22" i="12"/>
  <c r="K22" i="12" s="1"/>
  <c r="J23" i="12"/>
  <c r="K23" i="12" s="1"/>
  <c r="J26" i="12"/>
  <c r="K26" i="12" s="1"/>
  <c r="J21" i="12"/>
  <c r="K21" i="12" s="1"/>
  <c r="C13" i="12"/>
  <c r="D18" i="12"/>
  <c r="D16" i="12"/>
  <c r="D10" i="10" l="1"/>
  <c r="D12" i="10"/>
  <c r="D13" i="10"/>
  <c r="D14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C12" i="12"/>
  <c r="C11" i="12"/>
  <c r="C10" i="12"/>
  <c r="D9" i="10" l="1"/>
  <c r="D11" i="10"/>
  <c r="D15" i="10"/>
  <c r="B37" i="10"/>
  <c r="B38" i="10"/>
  <c r="B39" i="10"/>
  <c r="B40" i="10"/>
  <c r="B41" i="10"/>
  <c r="B42" i="10"/>
  <c r="B43" i="10"/>
  <c r="B44" i="10"/>
  <c r="B45" i="10"/>
  <c r="B46" i="10"/>
  <c r="B47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8" i="10"/>
  <c r="H13" i="26" l="1"/>
  <c r="D17" i="26"/>
  <c r="D17" i="31"/>
  <c r="H13" i="31"/>
  <c r="D17" i="30"/>
  <c r="H13" i="30"/>
  <c r="D17" i="29"/>
  <c r="H13" i="29"/>
  <c r="D17" i="28"/>
  <c r="H13" i="28"/>
  <c r="D17" i="16"/>
  <c r="D17" i="13"/>
  <c r="H13" i="13"/>
  <c r="H13" i="32"/>
  <c r="D17" i="27"/>
  <c r="H13" i="27"/>
  <c r="D17" i="17"/>
  <c r="H13" i="14"/>
  <c r="D17" i="25"/>
  <c r="H13" i="25"/>
  <c r="D17" i="24"/>
  <c r="H13" i="24"/>
  <c r="D17" i="23"/>
  <c r="H13" i="23"/>
  <c r="D17" i="22"/>
  <c r="H13" i="22"/>
  <c r="D17" i="21"/>
  <c r="H13" i="21"/>
  <c r="D17" i="20"/>
  <c r="H13" i="20"/>
  <c r="D17" i="19"/>
  <c r="H13" i="19"/>
  <c r="D17" i="18"/>
  <c r="H13" i="18"/>
  <c r="D17" i="32"/>
  <c r="D17" i="33"/>
  <c r="H13" i="33"/>
  <c r="H13" i="17"/>
  <c r="H13" i="16"/>
  <c r="D17" i="15"/>
  <c r="H13" i="15"/>
  <c r="D17" i="14"/>
  <c r="H13" i="12"/>
  <c r="D17" i="12"/>
  <c r="H12" i="12"/>
  <c r="H12" i="32" l="1"/>
  <c r="H12" i="25"/>
  <c r="H12" i="14"/>
  <c r="H12" i="33"/>
  <c r="H12" i="15"/>
  <c r="H12" i="18"/>
  <c r="H12" i="31"/>
  <c r="H12" i="16"/>
  <c r="H12" i="21"/>
  <c r="H12" i="22"/>
  <c r="H12" i="28"/>
  <c r="H12" i="19"/>
  <c r="H12" i="23"/>
  <c r="H12" i="30"/>
  <c r="H12" i="26"/>
  <c r="H12" i="29"/>
  <c r="H12" i="13"/>
  <c r="H12" i="17"/>
  <c r="H12" i="20"/>
  <c r="H12" i="24"/>
  <c r="H12" i="27"/>
</calcChain>
</file>

<file path=xl/sharedStrings.xml><?xml version="1.0" encoding="utf-8"?>
<sst xmlns="http://schemas.openxmlformats.org/spreadsheetml/2006/main" count="1489" uniqueCount="187">
  <si>
    <t>S/NO</t>
  </si>
  <si>
    <t>CA</t>
  </si>
  <si>
    <t>EXAM</t>
  </si>
  <si>
    <t>BASIC SCIENCE</t>
  </si>
  <si>
    <t>BASIC TECH</t>
  </si>
  <si>
    <t>BUSINESS STUDIES</t>
  </si>
  <si>
    <t>AGRICULTURAL SCIENCE</t>
  </si>
  <si>
    <t>CULTURAL &amp; CREATIVE ART</t>
  </si>
  <si>
    <t>CIVIC EDUCATION</t>
  </si>
  <si>
    <t>CHRISTIAN RELIGIOUS STUDIES</t>
  </si>
  <si>
    <t>ENGLISH LANGUAGE</t>
  </si>
  <si>
    <t>ENGLISH PHONETICS</t>
  </si>
  <si>
    <t>STUDENT NAME</t>
  </si>
  <si>
    <t>FRENCH</t>
  </si>
  <si>
    <t>HISTORY</t>
  </si>
  <si>
    <t>HOME ECONOMICS</t>
  </si>
  <si>
    <t>INFORMATION TECHNOLOGY</t>
  </si>
  <si>
    <t>MATHEMATICS</t>
  </si>
  <si>
    <t>PHYSICAL &amp; HEALTH EDUCATION</t>
  </si>
  <si>
    <t>SECURITY EDUCATION</t>
  </si>
  <si>
    <t>SOCIAL STUDIES</t>
  </si>
  <si>
    <t>YORUBA LANGUAGE</t>
  </si>
  <si>
    <t>IGBO LANGUAGE</t>
  </si>
  <si>
    <t>ADDITIONAL DETAILS</t>
  </si>
  <si>
    <t>NO OF TIMES SCHOOL OPENED</t>
  </si>
  <si>
    <t>NO OF TIMES PRESENT</t>
  </si>
  <si>
    <t>CLASS TEACHER'S REMARK</t>
  </si>
  <si>
    <t>PRINCIPAL'S COMMENT</t>
  </si>
  <si>
    <t>CLASS AVERAGE</t>
  </si>
  <si>
    <t>POSITION</t>
  </si>
  <si>
    <t>TOTAL</t>
  </si>
  <si>
    <t>AVERAGE</t>
  </si>
  <si>
    <t>PUNCTUALITY</t>
  </si>
  <si>
    <t>NEATNESS</t>
  </si>
  <si>
    <t>HONESTY</t>
  </si>
  <si>
    <t>CREATIVITY</t>
  </si>
  <si>
    <t>REPORT CARD</t>
  </si>
  <si>
    <t>Student Name:</t>
  </si>
  <si>
    <t>Class:</t>
  </si>
  <si>
    <t>Session:</t>
  </si>
  <si>
    <t>Term:</t>
  </si>
  <si>
    <t>Next Term Begins:</t>
  </si>
  <si>
    <t>JSS 1A</t>
  </si>
  <si>
    <t>SESSION</t>
  </si>
  <si>
    <t>Position:</t>
  </si>
  <si>
    <t>Average Score:</t>
  </si>
  <si>
    <t>No. in Class:</t>
  </si>
  <si>
    <t>No. of times School Opened:</t>
  </si>
  <si>
    <t>No. of times Present:</t>
  </si>
  <si>
    <t>FREQUENCIES</t>
  </si>
  <si>
    <t>SCHOOL ATTENDANCE</t>
  </si>
  <si>
    <t>PSYCHOMOTOR</t>
  </si>
  <si>
    <t>A</t>
  </si>
  <si>
    <t>C</t>
  </si>
  <si>
    <t>D</t>
  </si>
  <si>
    <t>E</t>
  </si>
  <si>
    <t>B</t>
  </si>
  <si>
    <t>SUBJECT</t>
  </si>
  <si>
    <t>GRADE</t>
  </si>
  <si>
    <t>NUMBER IN CLASS</t>
  </si>
  <si>
    <t>NEXT TERM BEGINS</t>
  </si>
  <si>
    <t>CUMMULATIVE SCORE</t>
  </si>
  <si>
    <t>CLASS TEACHER'S REMARK:</t>
  </si>
  <si>
    <t>KEYS TO GRADE:</t>
  </si>
  <si>
    <t>PRINCIPAL'S COMMENT:</t>
  </si>
  <si>
    <t>A: [70 and Above] C: [50 - 69]  P: [40 - 49] F: [39 and Below]</t>
  </si>
  <si>
    <t>SIGNATURE &amp; STAMP</t>
  </si>
  <si>
    <t>He is well behaved and obedient</t>
  </si>
  <si>
    <t>He is always gentle and sociable</t>
  </si>
  <si>
    <t>She is always neat and punctual to school</t>
  </si>
  <si>
    <t>She is gentle and neat</t>
  </si>
  <si>
    <t>He is an obedient student</t>
  </si>
  <si>
    <t>He is respectful and always neat</t>
  </si>
  <si>
    <t>He is always neat and obedient</t>
  </si>
  <si>
    <t>He is respectful and obedient</t>
  </si>
  <si>
    <t>She is brilliant and industrious</t>
  </si>
  <si>
    <t>He is intelligent, obedient and hardworking</t>
  </si>
  <si>
    <t>He is brilliant, hardworking and industrious</t>
  </si>
  <si>
    <t>He is well behaved and intelligent</t>
  </si>
  <si>
    <t>He is hard working and always punctual to school</t>
  </si>
  <si>
    <t>He is truthful and reliable</t>
  </si>
  <si>
    <t>He is always attentive in the class</t>
  </si>
  <si>
    <t>He is punctual to school and well behaved</t>
  </si>
  <si>
    <t>He is quite, well behaved and always neat</t>
  </si>
  <si>
    <t>She is hardworking, obedient and well behaved</t>
  </si>
  <si>
    <t>She is respectful and obedient</t>
  </si>
  <si>
    <t>He is reliable, truthful and honest</t>
  </si>
  <si>
    <t>He is smart, eager to learn and respectful</t>
  </si>
  <si>
    <t>Fairly good. Give greater attention to your study next term</t>
  </si>
  <si>
    <t>This is good result. Keep working hard</t>
  </si>
  <si>
    <t>This performance is satisfactory.</t>
  </si>
  <si>
    <t>Good performance. Keep it up</t>
  </si>
  <si>
    <t>Fair result. You can improve in your weak subjects</t>
  </si>
  <si>
    <t>Good result. Try to put more effort in your weak areas</t>
  </si>
  <si>
    <t>Very good. You have performed so well. Keep up the good work</t>
  </si>
  <si>
    <t>Good performances. Work harder on your weak areas</t>
  </si>
  <si>
    <t>Good result but you can do better than this</t>
  </si>
  <si>
    <t>Very good result. Keep it up</t>
  </si>
  <si>
    <t>Excellent. Keep it up</t>
  </si>
  <si>
    <t>Poor result. You can do better next term</t>
  </si>
  <si>
    <t>Fairly good result. You can do better</t>
  </si>
  <si>
    <t>Just fair, you can do better</t>
  </si>
  <si>
    <t>Fairly good. Buckle up next term</t>
  </si>
  <si>
    <t>Good result. You can surpass this performance next term</t>
  </si>
  <si>
    <t>Poor. Improve more on your studies to measure up. Learning is not difficult</t>
  </si>
  <si>
    <t>Excellent performance.</t>
  </si>
  <si>
    <t>Good result. You can improve on this next term</t>
  </si>
  <si>
    <t>Very good result. You can still do better.</t>
  </si>
  <si>
    <t>Poor result. Learn to devote time to private/personal studies</t>
  </si>
  <si>
    <t>Just fair. You can improve if only you will be more regular at school next term</t>
  </si>
  <si>
    <t>PASSPORT PHOTO</t>
  </si>
  <si>
    <t>Fairly good result. You need to work extra hard in your weak subjects area</t>
  </si>
  <si>
    <t>BROADSHEET</t>
  </si>
  <si>
    <t>2025/2026</t>
  </si>
  <si>
    <t>FIRST TERM</t>
  </si>
  <si>
    <t>12TH JANUARY 2026</t>
  </si>
  <si>
    <t>ADAKARAZA SAMUEL</t>
  </si>
  <si>
    <t>ADEOLA PEDRO</t>
  </si>
  <si>
    <t>ASAMS DANIELLA</t>
  </si>
  <si>
    <t>ASIBOR NANCY</t>
  </si>
  <si>
    <t>BANKOLE AMEERAT</t>
  </si>
  <si>
    <t>CHIEKEZIE MAXWELL</t>
  </si>
  <si>
    <t>EDET MOSES</t>
  </si>
  <si>
    <t>ENEJOH PHINEHAS</t>
  </si>
  <si>
    <t>EWELUKWA FAVOUR</t>
  </si>
  <si>
    <t>HAMMED OLAMIDE</t>
  </si>
  <si>
    <t>HAMZAT AKOREDE</t>
  </si>
  <si>
    <t>JAMES DIVINE</t>
  </si>
  <si>
    <t>JOEL JOSHUA</t>
  </si>
  <si>
    <t>JOSIAH SUNDAY</t>
  </si>
  <si>
    <t>KUFRE GOODNEWS</t>
  </si>
  <si>
    <t>NWABUEZE FAVOUR</t>
  </si>
  <si>
    <t>NWABUEZE VICTOR</t>
  </si>
  <si>
    <t>ONYINYECHI ANITA</t>
  </si>
  <si>
    <t>ORIAKU BRIGHT</t>
  </si>
  <si>
    <t>SAKA FAREED</t>
  </si>
  <si>
    <t>VICTOR LOVETH</t>
  </si>
  <si>
    <t>WASIU NIMOTALLAH</t>
  </si>
  <si>
    <t>A good result, you still need to work harder on your present scores.</t>
  </si>
  <si>
    <t>A good result you still need to work harder on your present scores. Promoted to the Next Class.</t>
  </si>
  <si>
    <t>Fairly good. Give greater attention to your study next term. Promoted to the Next Class.</t>
  </si>
  <si>
    <t>This is good result. Keep working hard. Promoted to the Next Class.</t>
  </si>
  <si>
    <t>This performance is satisfactory. Promoted to the Next Class.</t>
  </si>
  <si>
    <t>Good performance. Keep it up. Promoted to the Next Class.</t>
  </si>
  <si>
    <t>Fair result. You can improve in your weak subjects. Promoted to the Next Class.</t>
  </si>
  <si>
    <t>Fairly good result. You need to work extra hard in your weak subjects area. Promoted to the Next Class.</t>
  </si>
  <si>
    <t>Good result. Try to put more effort in your weak areas. Promoted to the Next Class.</t>
  </si>
  <si>
    <t>Very good. You have performed so well. Keep up the good work. Promoted to the Next Class.</t>
  </si>
  <si>
    <t>Good performances. Work harder on your weak areas. Promoted to the Next Class.</t>
  </si>
  <si>
    <t>Good result but you can do better than this. Promoted to the Next Class.</t>
  </si>
  <si>
    <t>Very good result. Keep it up. Promoted to the Next Class.</t>
  </si>
  <si>
    <t>Excellent. Keep it up. Promoted to the Next Class.</t>
  </si>
  <si>
    <t>Poor result. You can do better next term. Promoted to the Next Class.</t>
  </si>
  <si>
    <t>Fairly good result. You can do better. Promoted to the Next Class.</t>
  </si>
  <si>
    <t>Fairly good. Buckle up next term. Promoted to the Next Class.</t>
  </si>
  <si>
    <t>Good result. You can surpass this performance next term. Promoted to the Next Class.</t>
  </si>
  <si>
    <t>Poor. Improve more on your studies to measure up. Learning is not difficult. Promoted to the Next Class.</t>
  </si>
  <si>
    <t>Excellent performance. Promoted to the Next Class.</t>
  </si>
  <si>
    <t>Good result. You can improve on this next term. Promoted to the Next Class.</t>
  </si>
  <si>
    <t>Very good result. You can still do better. Promoted to the Next Class.</t>
  </si>
  <si>
    <t>Poor result. Learn to devote time to private/personal studies. Promoted to the Next Class.</t>
  </si>
  <si>
    <t>Just fair. You can improve if only you will be more regular at school next term. Promoted to the Next Class.</t>
  </si>
  <si>
    <t>He needs to pay more attention in class to improve his understanding.</t>
  </si>
  <si>
    <t>She is improving gradually but needs to participate more in class discussions.</t>
  </si>
  <si>
    <t>He should learn to submit assignments on time.</t>
  </si>
  <si>
    <t>She can do better if she avoids distractions during lessons.</t>
  </si>
  <si>
    <t>He is sometimes playful in class and needs to concentrate more.</t>
  </si>
  <si>
    <t>She tries her best but needs to put in more effort in her weak subjects.</t>
  </si>
  <si>
    <t>He is calm but should be more active in group work.</t>
  </si>
  <si>
    <t>She is responsible but needs to work on her handwriting.</t>
  </si>
  <si>
    <t>He is improving in behavior but still needs to avoid lateness.</t>
  </si>
  <si>
    <t>She is obedient but should learn to speak more confidently in class.</t>
  </si>
  <si>
    <t>He shows interest in learning but needs to be more consistent.</t>
  </si>
  <si>
    <t>She is friendly but talks too much during lessons.</t>
  </si>
  <si>
    <t>He needs to be more serious with his studies to achieve better results.</t>
  </si>
  <si>
    <t>She is respectful but sometimes forgets to complete her homework.</t>
  </si>
  <si>
    <t>He can perform better with greater commitment and focus.</t>
  </si>
  <si>
    <t>He loses concentration easily and must learn to stay focused during lessons.</t>
  </si>
  <si>
    <t>She is irregular in attendance and should be more punctual to school.</t>
  </si>
  <si>
    <t>He is careless with his books and needs to be more organized.</t>
  </si>
  <si>
    <t>She finds it difficult to follow instructions and must pay closer attention.</t>
  </si>
  <si>
    <t>He can do better if he reduces his level of playfulness in class.</t>
  </si>
  <si>
    <t>She needs to put more seriousness into her academic work</t>
  </si>
  <si>
    <t>EASYNETT INT'L COLLEGE OF TECH.</t>
  </si>
  <si>
    <t>76, WILMER CRESCENT, OLODI-APAPA, LAGOS</t>
  </si>
  <si>
    <t>EASYNETT INT'L COLLEGE OF TECH. (EICT)</t>
  </si>
  <si>
    <r>
      <rPr>
        <b/>
        <sz val="12"/>
        <color rgb="FFFF0000"/>
        <rFont val="Calibri"/>
        <family val="2"/>
        <scheme val="minor"/>
      </rPr>
      <t>TEL:</t>
    </r>
    <r>
      <rPr>
        <sz val="12"/>
        <color rgb="FFFF0000"/>
        <rFont val="Calibri"/>
        <family val="2"/>
        <scheme val="minor"/>
      </rPr>
      <t xml:space="preserve"> 07030903097, 08054260717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</si>
</sst>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sz val="10"/>
      <color rgb="FF00B050"/>
      <name val="Tahoma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24"/>
      <color rgb="FF00B050"/>
      <name val="Tahoma"/>
      <family val="2"/>
    </font>
    <font>
      <i/>
      <sz val="14"/>
      <color rgb="FF0070C0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8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/>
      <name val="Tahoma"/>
      <family val="2"/>
    </font>
    <font>
      <b/>
      <sz val="12"/>
      <color rgb="FF0070C0"/>
      <name val="Tahoma"/>
      <family val="2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2" xfId="0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10" xfId="0" applyBorder="1"/>
    <xf numFmtId="0" fontId="0" fillId="0" borderId="3" xfId="0" applyBorder="1"/>
    <xf numFmtId="0" fontId="12" fillId="0" borderId="0" xfId="0" applyFont="1" applyAlignment="1">
      <alignment vertical="center" textRotation="45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0" fillId="0" borderId="9" xfId="0" applyBorder="1"/>
    <xf numFmtId="0" fontId="7" fillId="0" borderId="2" xfId="0" applyFont="1" applyBorder="1"/>
    <xf numFmtId="0" fontId="11" fillId="0" borderId="3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2" fontId="0" fillId="0" borderId="0" xfId="0" applyNumberFormat="1" applyProtection="1">
      <protection locked="0"/>
    </xf>
    <xf numFmtId="2" fontId="11" fillId="0" borderId="0" xfId="0" applyNumberFormat="1" applyFont="1" applyAlignment="1" applyProtection="1">
      <alignment horizontal="right"/>
      <protection locked="0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7" fillId="0" borderId="7" xfId="0" applyFont="1" applyBorder="1"/>
    <xf numFmtId="0" fontId="8" fillId="0" borderId="10" xfId="0" applyFont="1" applyBorder="1" applyAlignment="1" applyProtection="1">
      <alignment horizontal="center"/>
      <protection locked="0"/>
    </xf>
    <xf numFmtId="0" fontId="11" fillId="0" borderId="0" xfId="0" applyFont="1"/>
    <xf numFmtId="0" fontId="22" fillId="0" borderId="7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10" xfId="0" applyFont="1" applyBorder="1"/>
    <xf numFmtId="0" fontId="20" fillId="0" borderId="3" xfId="0" applyFont="1" applyBorder="1"/>
    <xf numFmtId="0" fontId="22" fillId="0" borderId="2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7" fillId="0" borderId="0" xfId="0" applyFont="1" applyAlignment="1">
      <alignment vertical="center"/>
    </xf>
    <xf numFmtId="0" fontId="7" fillId="0" borderId="0" xfId="0" applyFont="1"/>
    <xf numFmtId="2" fontId="11" fillId="0" borderId="1" xfId="0" applyNumberFormat="1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7" xfId="0" applyBorder="1" applyProtection="1">
      <protection hidden="1"/>
    </xf>
    <xf numFmtId="2" fontId="0" fillId="0" borderId="9" xfId="0" applyNumberFormat="1" applyBorder="1" applyProtection="1">
      <protection hidden="1"/>
    </xf>
    <xf numFmtId="2" fontId="11" fillId="0" borderId="9" xfId="0" applyNumberFormat="1" applyFont="1" applyBorder="1" applyAlignment="1" applyProtection="1">
      <alignment horizontal="righ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24" fillId="0" borderId="1" xfId="0" applyFont="1" applyBorder="1" applyAlignment="1">
      <alignment horizontal="center"/>
    </xf>
    <xf numFmtId="0" fontId="25" fillId="0" borderId="1" xfId="0" applyFont="1" applyBorder="1"/>
    <xf numFmtId="0" fontId="0" fillId="0" borderId="1" xfId="0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0" fillId="3" borderId="13" xfId="0" applyFont="1" applyFill="1" applyBorder="1" applyAlignment="1">
      <alignment horizontal="center" vertical="center" textRotation="90"/>
    </xf>
    <xf numFmtId="0" fontId="10" fillId="2" borderId="13" xfId="0" applyFont="1" applyFill="1" applyBorder="1" applyAlignment="1">
      <alignment horizontal="center" vertical="center" textRotation="90"/>
    </xf>
    <xf numFmtId="0" fontId="8" fillId="0" borderId="13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wrapText="1"/>
      <protection locked="0"/>
    </xf>
    <xf numFmtId="0" fontId="3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25" fillId="0" borderId="1" xfId="0" applyFont="1" applyBorder="1" applyAlignment="1">
      <alignment vertical="center"/>
    </xf>
    <xf numFmtId="0" fontId="11" fillId="0" borderId="14" xfId="0" applyFont="1" applyBorder="1" applyAlignment="1" applyProtection="1">
      <alignment horizontal="center" wrapText="1"/>
      <protection locked="0"/>
    </xf>
    <xf numFmtId="0" fontId="0" fillId="0" borderId="14" xfId="0" applyBorder="1" applyAlignment="1" applyProtection="1">
      <alignment horizontal="center" wrapText="1"/>
      <protection locked="0"/>
    </xf>
    <xf numFmtId="0" fontId="0" fillId="0" borderId="14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right" wrapText="1"/>
      <protection locked="0"/>
    </xf>
    <xf numFmtId="0" fontId="11" fillId="0" borderId="1" xfId="0" applyFont="1" applyBorder="1" applyAlignment="1" applyProtection="1">
      <alignment horizontal="center"/>
      <protection hidden="1"/>
    </xf>
    <xf numFmtId="0" fontId="9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7" fillId="0" borderId="1" xfId="0" applyFont="1" applyBorder="1" applyAlignment="1">
      <alignment horizontal="center" vertical="center" textRotation="90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1" xfId="0" applyFont="1" applyBorder="1" applyAlignment="1">
      <alignment horizontal="center" vertical="center" textRotation="45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5" xfId="0" applyFont="1" applyBorder="1" applyAlignment="1">
      <alignment horizontal="center"/>
    </xf>
  </cellXfs>
  <cellStyles count="1">
    <cellStyle name="Normal" xfId="0" builtinId="0"/>
  </cellStyles>
  <dxfs count="110"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P48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3" sqref="A3:AP3"/>
    </sheetView>
  </sheetViews>
  <sheetFormatPr defaultRowHeight="15" x14ac:dyDescent="0.25"/>
  <cols>
    <col min="1" max="1" width="5.28515625" bestFit="1" customWidth="1"/>
    <col min="2" max="2" width="35.28515625" customWidth="1"/>
    <col min="3" max="14" width="3.28515625" bestFit="1" customWidth="1"/>
    <col min="15" max="15" width="3.85546875" customWidth="1"/>
    <col min="16" max="16" width="4.7109375" customWidth="1"/>
    <col min="17" max="26" width="3.28515625" bestFit="1" customWidth="1"/>
    <col min="27" max="28" width="3.28515625" customWidth="1"/>
    <col min="29" max="32" width="3.28515625" bestFit="1" customWidth="1"/>
    <col min="33" max="33" width="4.28515625" customWidth="1"/>
    <col min="34" max="34" width="4.140625" customWidth="1"/>
    <col min="35" max="40" width="3.28515625" bestFit="1" customWidth="1"/>
    <col min="41" max="41" width="8.140625" customWidth="1"/>
    <col min="42" max="42" width="11.85546875" customWidth="1"/>
  </cols>
  <sheetData>
    <row r="1" spans="1:42" ht="15" customHeight="1" x14ac:dyDescent="0.25">
      <c r="A1" s="83" t="s">
        <v>185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</row>
    <row r="2" spans="1:42" ht="15" customHeigh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</row>
    <row r="3" spans="1:42" ht="18" x14ac:dyDescent="0.25">
      <c r="A3" s="86" t="s">
        <v>184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</row>
    <row r="4" spans="1:42" ht="15.75" x14ac:dyDescent="0.25">
      <c r="A4" s="79" t="s">
        <v>43</v>
      </c>
      <c r="B4" s="79"/>
      <c r="C4" s="85" t="s">
        <v>113</v>
      </c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</row>
    <row r="5" spans="1:42" ht="15" customHeight="1" x14ac:dyDescent="0.25">
      <c r="A5" s="82"/>
      <c r="B5" s="81" t="s">
        <v>114</v>
      </c>
      <c r="C5" s="69" t="s">
        <v>112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1"/>
      <c r="AO5" s="75" t="s">
        <v>61</v>
      </c>
      <c r="AP5" s="76"/>
    </row>
    <row r="6" spans="1:42" ht="15" customHeight="1" x14ac:dyDescent="0.25">
      <c r="A6" s="82"/>
      <c r="B6" s="81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4"/>
      <c r="AO6" s="77"/>
      <c r="AP6" s="78"/>
    </row>
    <row r="7" spans="1:42" ht="81" customHeight="1" x14ac:dyDescent="0.25">
      <c r="A7" s="80" t="s">
        <v>0</v>
      </c>
      <c r="B7" s="6" t="s">
        <v>42</v>
      </c>
      <c r="C7" s="68" t="s">
        <v>6</v>
      </c>
      <c r="D7" s="68"/>
      <c r="E7" s="67" t="s">
        <v>3</v>
      </c>
      <c r="F7" s="67"/>
      <c r="G7" s="68" t="s">
        <v>4</v>
      </c>
      <c r="H7" s="68"/>
      <c r="I7" s="67" t="s">
        <v>5</v>
      </c>
      <c r="J7" s="67"/>
      <c r="K7" s="68" t="s">
        <v>7</v>
      </c>
      <c r="L7" s="68">
        <v>10</v>
      </c>
      <c r="M7" s="67" t="s">
        <v>8</v>
      </c>
      <c r="N7" s="67">
        <v>12</v>
      </c>
      <c r="O7" s="68" t="s">
        <v>9</v>
      </c>
      <c r="P7" s="68"/>
      <c r="Q7" s="67" t="s">
        <v>10</v>
      </c>
      <c r="R7" s="67"/>
      <c r="S7" s="68" t="s">
        <v>11</v>
      </c>
      <c r="T7" s="68"/>
      <c r="U7" s="67" t="s">
        <v>13</v>
      </c>
      <c r="V7" s="67"/>
      <c r="W7" s="68" t="s">
        <v>14</v>
      </c>
      <c r="X7" s="68"/>
      <c r="Y7" s="67" t="s">
        <v>15</v>
      </c>
      <c r="Z7" s="67"/>
      <c r="AA7" s="68" t="s">
        <v>22</v>
      </c>
      <c r="AB7" s="68"/>
      <c r="AC7" s="67" t="s">
        <v>16</v>
      </c>
      <c r="AD7" s="67"/>
      <c r="AE7" s="68" t="s">
        <v>17</v>
      </c>
      <c r="AF7" s="68"/>
      <c r="AG7" s="67" t="s">
        <v>18</v>
      </c>
      <c r="AH7" s="67"/>
      <c r="AI7" s="68" t="s">
        <v>19</v>
      </c>
      <c r="AJ7" s="68"/>
      <c r="AK7" s="67" t="s">
        <v>20</v>
      </c>
      <c r="AL7" s="67"/>
      <c r="AM7" s="68" t="s">
        <v>21</v>
      </c>
      <c r="AN7" s="68"/>
      <c r="AO7" s="84" t="s">
        <v>30</v>
      </c>
      <c r="AP7" s="68" t="s">
        <v>31</v>
      </c>
    </row>
    <row r="8" spans="1:42" ht="29.25" x14ac:dyDescent="0.25">
      <c r="A8" s="80"/>
      <c r="B8" s="56" t="s">
        <v>12</v>
      </c>
      <c r="C8" s="55" t="s">
        <v>1</v>
      </c>
      <c r="D8" s="54" t="s">
        <v>2</v>
      </c>
      <c r="E8" s="55" t="s">
        <v>1</v>
      </c>
      <c r="F8" s="54" t="s">
        <v>2</v>
      </c>
      <c r="G8" s="55" t="s">
        <v>1</v>
      </c>
      <c r="H8" s="54" t="s">
        <v>2</v>
      </c>
      <c r="I8" s="55" t="s">
        <v>1</v>
      </c>
      <c r="J8" s="54" t="s">
        <v>2</v>
      </c>
      <c r="K8" s="55" t="s">
        <v>1</v>
      </c>
      <c r="L8" s="54" t="s">
        <v>2</v>
      </c>
      <c r="M8" s="55" t="s">
        <v>1</v>
      </c>
      <c r="N8" s="54" t="s">
        <v>2</v>
      </c>
      <c r="O8" s="55" t="s">
        <v>1</v>
      </c>
      <c r="P8" s="54" t="s">
        <v>2</v>
      </c>
      <c r="Q8" s="55" t="s">
        <v>1</v>
      </c>
      <c r="R8" s="54" t="s">
        <v>2</v>
      </c>
      <c r="S8" s="55" t="s">
        <v>1</v>
      </c>
      <c r="T8" s="54" t="s">
        <v>2</v>
      </c>
      <c r="U8" s="55" t="s">
        <v>1</v>
      </c>
      <c r="V8" s="54" t="s">
        <v>2</v>
      </c>
      <c r="W8" s="55" t="s">
        <v>1</v>
      </c>
      <c r="X8" s="54" t="s">
        <v>2</v>
      </c>
      <c r="Y8" s="55" t="s">
        <v>1</v>
      </c>
      <c r="Z8" s="54" t="s">
        <v>2</v>
      </c>
      <c r="AA8" s="55" t="s">
        <v>1</v>
      </c>
      <c r="AB8" s="54" t="s">
        <v>2</v>
      </c>
      <c r="AC8" s="55" t="s">
        <v>1</v>
      </c>
      <c r="AD8" s="54" t="s">
        <v>2</v>
      </c>
      <c r="AE8" s="55" t="s">
        <v>1</v>
      </c>
      <c r="AF8" s="54" t="s">
        <v>2</v>
      </c>
      <c r="AG8" s="55" t="s">
        <v>1</v>
      </c>
      <c r="AH8" s="54" t="s">
        <v>2</v>
      </c>
      <c r="AI8" s="55" t="s">
        <v>1</v>
      </c>
      <c r="AJ8" s="54" t="s">
        <v>2</v>
      </c>
      <c r="AK8" s="55" t="s">
        <v>1</v>
      </c>
      <c r="AL8" s="54" t="s">
        <v>2</v>
      </c>
      <c r="AM8" s="55" t="s">
        <v>1</v>
      </c>
      <c r="AN8" s="54" t="s">
        <v>2</v>
      </c>
      <c r="AO8" s="84"/>
      <c r="AP8" s="68"/>
    </row>
    <row r="9" spans="1:42" x14ac:dyDescent="0.25">
      <c r="A9" s="3">
        <v>1</v>
      </c>
      <c r="B9" s="2" t="s">
        <v>116</v>
      </c>
      <c r="C9" s="52">
        <v>28</v>
      </c>
      <c r="D9" s="52">
        <v>28</v>
      </c>
      <c r="E9" s="52">
        <v>28</v>
      </c>
      <c r="F9" s="52">
        <v>28</v>
      </c>
      <c r="G9" s="52">
        <v>17</v>
      </c>
      <c r="H9" s="52">
        <v>8</v>
      </c>
      <c r="I9" s="52">
        <v>17</v>
      </c>
      <c r="J9" s="52">
        <v>15</v>
      </c>
      <c r="K9" s="65">
        <v>13</v>
      </c>
      <c r="L9" s="65">
        <v>20</v>
      </c>
      <c r="M9" s="52">
        <v>17</v>
      </c>
      <c r="N9" s="52">
        <v>10</v>
      </c>
      <c r="O9" s="52">
        <v>21</v>
      </c>
      <c r="P9" s="52">
        <v>30</v>
      </c>
      <c r="Q9" s="52">
        <v>13</v>
      </c>
      <c r="R9" s="52">
        <v>11</v>
      </c>
      <c r="S9" s="53"/>
      <c r="T9" s="53"/>
      <c r="U9" s="52">
        <v>17</v>
      </c>
      <c r="V9" s="52">
        <v>6</v>
      </c>
      <c r="W9" s="52">
        <v>15</v>
      </c>
      <c r="X9" s="52">
        <v>11</v>
      </c>
      <c r="Y9" s="52">
        <v>20</v>
      </c>
      <c r="Z9" s="52">
        <v>24</v>
      </c>
      <c r="AA9" s="53"/>
      <c r="AB9" s="53"/>
      <c r="AC9" s="52">
        <v>18</v>
      </c>
      <c r="AD9" s="52">
        <v>10</v>
      </c>
      <c r="AE9" s="52">
        <v>20</v>
      </c>
      <c r="AF9" s="52">
        <v>20</v>
      </c>
      <c r="AG9" s="52">
        <v>29</v>
      </c>
      <c r="AH9" s="52">
        <v>10</v>
      </c>
      <c r="AI9" s="52">
        <v>15</v>
      </c>
      <c r="AJ9" s="52">
        <v>3</v>
      </c>
      <c r="AK9" s="52">
        <v>15</v>
      </c>
      <c r="AL9" s="52">
        <v>16</v>
      </c>
      <c r="AM9" s="52">
        <v>21</v>
      </c>
      <c r="AN9" s="52">
        <v>22</v>
      </c>
      <c r="AO9" s="51">
        <f>SUM(C9:AN9)</f>
        <v>596</v>
      </c>
      <c r="AP9" s="38">
        <f>AO9/17</f>
        <v>35.058823529411768</v>
      </c>
    </row>
    <row r="10" spans="1:42" x14ac:dyDescent="0.25">
      <c r="A10" s="3">
        <v>2</v>
      </c>
      <c r="B10" s="2" t="s">
        <v>117</v>
      </c>
      <c r="C10" s="52">
        <v>28</v>
      </c>
      <c r="D10" s="52">
        <v>39</v>
      </c>
      <c r="E10" s="52">
        <v>25</v>
      </c>
      <c r="F10" s="52">
        <v>39</v>
      </c>
      <c r="G10" s="52">
        <v>20</v>
      </c>
      <c r="H10" s="52">
        <v>22</v>
      </c>
      <c r="I10" s="52">
        <v>24</v>
      </c>
      <c r="J10" s="52">
        <v>23</v>
      </c>
      <c r="K10" s="52">
        <v>21</v>
      </c>
      <c r="L10" s="52">
        <v>20</v>
      </c>
      <c r="M10" s="52">
        <v>24</v>
      </c>
      <c r="N10" s="52">
        <v>10</v>
      </c>
      <c r="O10" s="52">
        <v>20</v>
      </c>
      <c r="P10" s="52">
        <v>30</v>
      </c>
      <c r="Q10" s="52">
        <v>24</v>
      </c>
      <c r="R10" s="52">
        <v>25</v>
      </c>
      <c r="S10" s="53"/>
      <c r="T10" s="53"/>
      <c r="U10" s="52">
        <v>22</v>
      </c>
      <c r="V10" s="52">
        <v>37</v>
      </c>
      <c r="W10" s="52">
        <v>28</v>
      </c>
      <c r="X10" s="52">
        <v>36</v>
      </c>
      <c r="Y10" s="52">
        <v>25</v>
      </c>
      <c r="Z10" s="52">
        <v>30</v>
      </c>
      <c r="AA10" s="53"/>
      <c r="AB10" s="53"/>
      <c r="AC10" s="52">
        <v>24</v>
      </c>
      <c r="AD10" s="52">
        <v>29</v>
      </c>
      <c r="AE10" s="52">
        <v>20</v>
      </c>
      <c r="AF10" s="52">
        <v>20</v>
      </c>
      <c r="AG10" s="52">
        <v>29</v>
      </c>
      <c r="AH10" s="52">
        <v>28</v>
      </c>
      <c r="AI10" s="52">
        <v>17</v>
      </c>
      <c r="AJ10" s="52">
        <v>4</v>
      </c>
      <c r="AK10" s="52">
        <v>14</v>
      </c>
      <c r="AL10" s="52">
        <v>22</v>
      </c>
      <c r="AM10" s="52">
        <v>27</v>
      </c>
      <c r="AN10" s="52">
        <v>40</v>
      </c>
      <c r="AO10" s="51">
        <f t="shared" ref="AO10:AO48" si="0">SUM(C10:AN10)</f>
        <v>846</v>
      </c>
      <c r="AP10" s="38">
        <f t="shared" ref="AP10:AP48" si="1">AO10/17</f>
        <v>49.764705882352942</v>
      </c>
    </row>
    <row r="11" spans="1:42" x14ac:dyDescent="0.25">
      <c r="A11" s="3">
        <v>3</v>
      </c>
      <c r="B11" s="2" t="s">
        <v>118</v>
      </c>
      <c r="C11" s="52">
        <v>28</v>
      </c>
      <c r="D11" s="52">
        <v>35</v>
      </c>
      <c r="E11" s="52">
        <v>25</v>
      </c>
      <c r="F11" s="52">
        <v>55</v>
      </c>
      <c r="G11" s="52">
        <v>22</v>
      </c>
      <c r="H11" s="52">
        <v>60</v>
      </c>
      <c r="I11" s="52">
        <v>18</v>
      </c>
      <c r="J11" s="52">
        <v>22</v>
      </c>
      <c r="K11" s="52">
        <v>20</v>
      </c>
      <c r="L11" s="52">
        <v>20</v>
      </c>
      <c r="M11" s="52">
        <v>17</v>
      </c>
      <c r="N11" s="52">
        <v>38</v>
      </c>
      <c r="O11" s="52">
        <v>28</v>
      </c>
      <c r="P11" s="52">
        <v>45</v>
      </c>
      <c r="Q11" s="52">
        <v>23</v>
      </c>
      <c r="R11" s="52">
        <v>52</v>
      </c>
      <c r="S11" s="53"/>
      <c r="T11" s="53"/>
      <c r="U11" s="52">
        <v>20</v>
      </c>
      <c r="V11" s="52">
        <v>43</v>
      </c>
      <c r="W11" s="52">
        <v>26</v>
      </c>
      <c r="X11" s="52">
        <v>35</v>
      </c>
      <c r="Y11" s="52">
        <v>25</v>
      </c>
      <c r="Z11" s="52">
        <v>31</v>
      </c>
      <c r="AA11" s="53"/>
      <c r="AB11" s="53"/>
      <c r="AC11" s="52">
        <v>18</v>
      </c>
      <c r="AD11" s="52">
        <v>37</v>
      </c>
      <c r="AE11" s="65">
        <v>20</v>
      </c>
      <c r="AF11" s="65">
        <v>30</v>
      </c>
      <c r="AG11" s="52">
        <v>26</v>
      </c>
      <c r="AH11" s="52">
        <v>32</v>
      </c>
      <c r="AI11" s="52">
        <v>20</v>
      </c>
      <c r="AJ11" s="52">
        <v>25</v>
      </c>
      <c r="AK11" s="52">
        <v>20</v>
      </c>
      <c r="AL11" s="52">
        <v>31</v>
      </c>
      <c r="AM11" s="52">
        <v>26</v>
      </c>
      <c r="AN11" s="52">
        <v>40</v>
      </c>
      <c r="AO11" s="51">
        <f t="shared" si="0"/>
        <v>1013</v>
      </c>
      <c r="AP11" s="38">
        <f t="shared" si="1"/>
        <v>59.588235294117645</v>
      </c>
    </row>
    <row r="12" spans="1:42" x14ac:dyDescent="0.25">
      <c r="A12" s="3">
        <v>4</v>
      </c>
      <c r="B12" s="2" t="s">
        <v>119</v>
      </c>
      <c r="C12" s="52">
        <v>28</v>
      </c>
      <c r="D12" s="52">
        <v>50</v>
      </c>
      <c r="E12" s="52">
        <v>27</v>
      </c>
      <c r="F12" s="52">
        <v>51</v>
      </c>
      <c r="G12" s="52">
        <v>20</v>
      </c>
      <c r="H12" s="52">
        <v>30</v>
      </c>
      <c r="I12" s="52">
        <v>24</v>
      </c>
      <c r="J12" s="52">
        <v>30</v>
      </c>
      <c r="K12" s="52">
        <v>29</v>
      </c>
      <c r="L12" s="52">
        <v>38</v>
      </c>
      <c r="M12" s="52">
        <v>23</v>
      </c>
      <c r="N12" s="52">
        <v>53</v>
      </c>
      <c r="O12" s="52">
        <v>23</v>
      </c>
      <c r="P12" s="52">
        <v>36</v>
      </c>
      <c r="Q12" s="52">
        <v>27</v>
      </c>
      <c r="R12" s="52">
        <v>26</v>
      </c>
      <c r="S12" s="53"/>
      <c r="T12" s="53"/>
      <c r="U12" s="52">
        <v>10</v>
      </c>
      <c r="V12" s="52">
        <v>44</v>
      </c>
      <c r="W12" s="52">
        <v>27</v>
      </c>
      <c r="X12" s="52">
        <v>35</v>
      </c>
      <c r="Y12" s="52">
        <v>23</v>
      </c>
      <c r="Z12" s="52">
        <v>30</v>
      </c>
      <c r="AA12" s="53"/>
      <c r="AB12" s="53"/>
      <c r="AC12" s="52">
        <v>21</v>
      </c>
      <c r="AD12" s="52">
        <v>36</v>
      </c>
      <c r="AE12" s="52">
        <v>20</v>
      </c>
      <c r="AF12" s="52">
        <v>28</v>
      </c>
      <c r="AG12" s="52">
        <v>26</v>
      </c>
      <c r="AH12" s="52">
        <v>40</v>
      </c>
      <c r="AI12" s="52">
        <v>17</v>
      </c>
      <c r="AJ12" s="52">
        <v>27</v>
      </c>
      <c r="AK12" s="52">
        <v>20</v>
      </c>
      <c r="AL12" s="52">
        <v>41</v>
      </c>
      <c r="AM12" s="52">
        <v>19</v>
      </c>
      <c r="AN12" s="52">
        <v>26</v>
      </c>
      <c r="AO12" s="51">
        <f t="shared" si="0"/>
        <v>1005</v>
      </c>
      <c r="AP12" s="38">
        <f t="shared" si="1"/>
        <v>59.117647058823529</v>
      </c>
    </row>
    <row r="13" spans="1:42" x14ac:dyDescent="0.25">
      <c r="A13" s="3">
        <v>5</v>
      </c>
      <c r="B13" s="2" t="s">
        <v>120</v>
      </c>
      <c r="C13" s="52">
        <v>28</v>
      </c>
      <c r="D13" s="52">
        <v>68</v>
      </c>
      <c r="E13" s="52">
        <v>28</v>
      </c>
      <c r="F13" s="52">
        <v>66</v>
      </c>
      <c r="G13" s="52">
        <v>22</v>
      </c>
      <c r="H13" s="52">
        <v>52</v>
      </c>
      <c r="I13" s="52">
        <v>16</v>
      </c>
      <c r="J13" s="52">
        <v>20</v>
      </c>
      <c r="K13" s="52">
        <v>20</v>
      </c>
      <c r="L13" s="52">
        <v>35</v>
      </c>
      <c r="M13" s="52">
        <v>22</v>
      </c>
      <c r="N13" s="52">
        <v>33</v>
      </c>
      <c r="O13" s="52">
        <v>24</v>
      </c>
      <c r="P13" s="52">
        <v>55</v>
      </c>
      <c r="Q13" s="52">
        <v>24</v>
      </c>
      <c r="R13" s="52">
        <v>41</v>
      </c>
      <c r="S13" s="53"/>
      <c r="T13" s="53"/>
      <c r="U13" s="52">
        <v>22</v>
      </c>
      <c r="V13" s="52">
        <v>56</v>
      </c>
      <c r="W13" s="52">
        <v>29</v>
      </c>
      <c r="X13" s="52">
        <v>57</v>
      </c>
      <c r="Y13" s="52">
        <v>27</v>
      </c>
      <c r="Z13" s="52">
        <v>53</v>
      </c>
      <c r="AA13" s="53"/>
      <c r="AB13" s="53"/>
      <c r="AC13" s="52">
        <v>24</v>
      </c>
      <c r="AD13" s="52">
        <v>39</v>
      </c>
      <c r="AE13" s="52">
        <v>25</v>
      </c>
      <c r="AF13" s="52">
        <v>40</v>
      </c>
      <c r="AG13" s="52">
        <v>26</v>
      </c>
      <c r="AH13" s="52">
        <v>37</v>
      </c>
      <c r="AI13" s="52">
        <v>21</v>
      </c>
      <c r="AJ13" s="52">
        <v>33</v>
      </c>
      <c r="AK13" s="52">
        <v>22</v>
      </c>
      <c r="AL13" s="52">
        <v>53</v>
      </c>
      <c r="AM13" s="52">
        <v>23</v>
      </c>
      <c r="AN13" s="52">
        <v>68</v>
      </c>
      <c r="AO13" s="51">
        <f t="shared" si="0"/>
        <v>1209</v>
      </c>
      <c r="AP13" s="38">
        <f t="shared" si="1"/>
        <v>71.117647058823536</v>
      </c>
    </row>
    <row r="14" spans="1:42" x14ac:dyDescent="0.25">
      <c r="A14" s="3">
        <v>6</v>
      </c>
      <c r="B14" s="2" t="s">
        <v>121</v>
      </c>
      <c r="C14" s="52">
        <v>28</v>
      </c>
      <c r="D14" s="52">
        <v>18</v>
      </c>
      <c r="E14" s="52">
        <v>22</v>
      </c>
      <c r="F14" s="52">
        <v>21</v>
      </c>
      <c r="G14" s="52">
        <v>20</v>
      </c>
      <c r="H14" s="52">
        <v>5</v>
      </c>
      <c r="I14" s="52">
        <v>16</v>
      </c>
      <c r="J14" s="52">
        <v>32</v>
      </c>
      <c r="K14" s="52">
        <v>20</v>
      </c>
      <c r="L14" s="52">
        <v>20</v>
      </c>
      <c r="M14" s="52">
        <v>14</v>
      </c>
      <c r="N14" s="52">
        <v>22</v>
      </c>
      <c r="O14" s="52">
        <v>17</v>
      </c>
      <c r="P14" s="52">
        <v>13</v>
      </c>
      <c r="Q14" s="52">
        <v>18</v>
      </c>
      <c r="R14" s="52">
        <v>14</v>
      </c>
      <c r="S14" s="53"/>
      <c r="T14" s="53"/>
      <c r="U14" s="52">
        <v>18</v>
      </c>
      <c r="V14" s="52">
        <v>1</v>
      </c>
      <c r="W14" s="52">
        <v>17</v>
      </c>
      <c r="X14" s="52">
        <v>24</v>
      </c>
      <c r="Y14" s="52">
        <v>20</v>
      </c>
      <c r="Z14" s="52">
        <v>20</v>
      </c>
      <c r="AA14" s="53"/>
      <c r="AB14" s="53"/>
      <c r="AC14" s="52">
        <v>18</v>
      </c>
      <c r="AD14" s="52">
        <v>25</v>
      </c>
      <c r="AE14" s="52">
        <v>20</v>
      </c>
      <c r="AF14" s="52">
        <v>18</v>
      </c>
      <c r="AG14" s="52">
        <v>29</v>
      </c>
      <c r="AH14" s="52">
        <v>7</v>
      </c>
      <c r="AI14" s="52">
        <v>14</v>
      </c>
      <c r="AJ14" s="52">
        <v>5</v>
      </c>
      <c r="AK14" s="52">
        <v>20</v>
      </c>
      <c r="AL14" s="52">
        <v>17</v>
      </c>
      <c r="AM14" s="52">
        <v>12</v>
      </c>
      <c r="AN14" s="52">
        <v>7</v>
      </c>
      <c r="AO14" s="51">
        <f t="shared" si="0"/>
        <v>592</v>
      </c>
      <c r="AP14" s="38">
        <f t="shared" si="1"/>
        <v>34.823529411764703</v>
      </c>
    </row>
    <row r="15" spans="1:42" x14ac:dyDescent="0.25">
      <c r="A15" s="3">
        <v>7</v>
      </c>
      <c r="B15" s="2" t="s">
        <v>122</v>
      </c>
      <c r="C15" s="52">
        <v>28</v>
      </c>
      <c r="D15" s="52">
        <v>30</v>
      </c>
      <c r="E15" s="52">
        <v>25</v>
      </c>
      <c r="F15" s="52">
        <v>37</v>
      </c>
      <c r="G15" s="52">
        <v>25</v>
      </c>
      <c r="H15" s="52">
        <v>42</v>
      </c>
      <c r="I15" s="52">
        <v>14</v>
      </c>
      <c r="J15" s="52">
        <v>42</v>
      </c>
      <c r="K15" s="52">
        <v>27</v>
      </c>
      <c r="L15" s="52">
        <v>40</v>
      </c>
      <c r="M15" s="52">
        <v>20</v>
      </c>
      <c r="N15" s="52">
        <v>22</v>
      </c>
      <c r="O15" s="52">
        <v>18</v>
      </c>
      <c r="P15" s="52">
        <v>45</v>
      </c>
      <c r="Q15" s="52">
        <v>19</v>
      </c>
      <c r="R15" s="52">
        <v>18</v>
      </c>
      <c r="S15" s="53"/>
      <c r="T15" s="53"/>
      <c r="U15" s="52">
        <v>11</v>
      </c>
      <c r="V15" s="52">
        <v>41</v>
      </c>
      <c r="W15" s="52">
        <v>23</v>
      </c>
      <c r="X15" s="52">
        <v>41</v>
      </c>
      <c r="Y15" s="52">
        <v>27</v>
      </c>
      <c r="Z15" s="52">
        <v>43</v>
      </c>
      <c r="AA15" s="53"/>
      <c r="AB15" s="53"/>
      <c r="AC15" s="52">
        <v>17</v>
      </c>
      <c r="AD15" s="52">
        <v>34</v>
      </c>
      <c r="AE15" s="52">
        <v>20</v>
      </c>
      <c r="AF15" s="52">
        <v>48</v>
      </c>
      <c r="AG15" s="52">
        <v>27</v>
      </c>
      <c r="AH15" s="52">
        <v>28</v>
      </c>
      <c r="AI15" s="52">
        <v>15</v>
      </c>
      <c r="AJ15" s="52">
        <v>38</v>
      </c>
      <c r="AK15" s="52">
        <v>15</v>
      </c>
      <c r="AL15" s="52">
        <v>18</v>
      </c>
      <c r="AM15" s="52">
        <v>22</v>
      </c>
      <c r="AN15" s="52">
        <v>16</v>
      </c>
      <c r="AO15" s="51">
        <f t="shared" si="0"/>
        <v>936</v>
      </c>
      <c r="AP15" s="38">
        <f t="shared" si="1"/>
        <v>55.058823529411768</v>
      </c>
    </row>
    <row r="16" spans="1:42" x14ac:dyDescent="0.25">
      <c r="A16" s="3">
        <v>8</v>
      </c>
      <c r="B16" s="2" t="s">
        <v>123</v>
      </c>
      <c r="C16" s="52">
        <v>28</v>
      </c>
      <c r="D16" s="52">
        <v>39</v>
      </c>
      <c r="E16" s="52">
        <v>22</v>
      </c>
      <c r="F16" s="52">
        <v>24</v>
      </c>
      <c r="G16" s="52">
        <v>28</v>
      </c>
      <c r="H16" s="52">
        <v>4</v>
      </c>
      <c r="I16" s="52">
        <v>15</v>
      </c>
      <c r="J16" s="52">
        <v>15</v>
      </c>
      <c r="K16" s="52">
        <v>20</v>
      </c>
      <c r="L16" s="52">
        <v>20</v>
      </c>
      <c r="M16" s="52">
        <v>21</v>
      </c>
      <c r="N16" s="52">
        <v>26</v>
      </c>
      <c r="O16" s="52">
        <v>18</v>
      </c>
      <c r="P16" s="52">
        <v>16</v>
      </c>
      <c r="Q16" s="52">
        <v>18</v>
      </c>
      <c r="R16" s="52">
        <v>13</v>
      </c>
      <c r="S16" s="53"/>
      <c r="T16" s="53"/>
      <c r="U16" s="52">
        <v>19</v>
      </c>
      <c r="V16" s="52">
        <v>8</v>
      </c>
      <c r="W16" s="52">
        <v>23</v>
      </c>
      <c r="X16" s="52">
        <v>9</v>
      </c>
      <c r="Y16" s="52">
        <v>20</v>
      </c>
      <c r="Z16" s="52">
        <v>20</v>
      </c>
      <c r="AA16" s="53"/>
      <c r="AB16" s="53"/>
      <c r="AC16" s="52">
        <v>18</v>
      </c>
      <c r="AD16" s="52">
        <v>22</v>
      </c>
      <c r="AE16" s="52">
        <v>20</v>
      </c>
      <c r="AF16" s="52">
        <v>14</v>
      </c>
      <c r="AG16" s="52">
        <v>29</v>
      </c>
      <c r="AH16" s="52">
        <v>20</v>
      </c>
      <c r="AI16" s="52">
        <v>18</v>
      </c>
      <c r="AJ16" s="52">
        <v>14</v>
      </c>
      <c r="AK16" s="52">
        <v>23</v>
      </c>
      <c r="AL16" s="52">
        <v>25</v>
      </c>
      <c r="AM16" s="52">
        <v>13</v>
      </c>
      <c r="AN16" s="52">
        <v>27</v>
      </c>
      <c r="AO16" s="51">
        <f t="shared" si="0"/>
        <v>669</v>
      </c>
      <c r="AP16" s="38">
        <f t="shared" si="1"/>
        <v>39.352941176470587</v>
      </c>
    </row>
    <row r="17" spans="1:42" x14ac:dyDescent="0.25">
      <c r="A17" s="3">
        <v>9</v>
      </c>
      <c r="B17" s="2" t="s">
        <v>124</v>
      </c>
      <c r="C17" s="52">
        <v>28</v>
      </c>
      <c r="D17" s="52">
        <v>63</v>
      </c>
      <c r="E17" s="52">
        <v>27</v>
      </c>
      <c r="F17" s="52">
        <v>53</v>
      </c>
      <c r="G17" s="52">
        <v>27</v>
      </c>
      <c r="H17" s="52">
        <v>46</v>
      </c>
      <c r="I17" s="52">
        <v>20</v>
      </c>
      <c r="J17" s="52">
        <v>40</v>
      </c>
      <c r="K17" s="52">
        <v>26</v>
      </c>
      <c r="L17" s="52">
        <v>30</v>
      </c>
      <c r="M17" s="52">
        <v>17</v>
      </c>
      <c r="N17" s="52">
        <v>16</v>
      </c>
      <c r="O17" s="52">
        <v>21</v>
      </c>
      <c r="P17" s="52">
        <v>49</v>
      </c>
      <c r="Q17" s="52">
        <v>28</v>
      </c>
      <c r="R17" s="52">
        <v>40</v>
      </c>
      <c r="S17" s="53"/>
      <c r="T17" s="53"/>
      <c r="U17" s="52">
        <v>20</v>
      </c>
      <c r="V17" s="52">
        <v>50</v>
      </c>
      <c r="W17" s="52">
        <v>30</v>
      </c>
      <c r="X17" s="52">
        <v>54</v>
      </c>
      <c r="Y17" s="52">
        <v>29</v>
      </c>
      <c r="Z17" s="52">
        <v>53</v>
      </c>
      <c r="AA17" s="53"/>
      <c r="AB17" s="53"/>
      <c r="AC17" s="52">
        <v>23</v>
      </c>
      <c r="AD17" s="52">
        <v>38</v>
      </c>
      <c r="AE17" s="52">
        <v>20</v>
      </c>
      <c r="AF17" s="52">
        <v>25</v>
      </c>
      <c r="AG17" s="52">
        <v>26</v>
      </c>
      <c r="AH17" s="52">
        <v>35</v>
      </c>
      <c r="AI17" s="52">
        <v>19</v>
      </c>
      <c r="AJ17" s="52">
        <v>24</v>
      </c>
      <c r="AK17" s="52">
        <v>23</v>
      </c>
      <c r="AL17" s="52">
        <v>35</v>
      </c>
      <c r="AM17" s="52">
        <v>24</v>
      </c>
      <c r="AN17" s="52">
        <v>14</v>
      </c>
      <c r="AO17" s="51">
        <f t="shared" si="0"/>
        <v>1073</v>
      </c>
      <c r="AP17" s="38">
        <f t="shared" si="1"/>
        <v>63.117647058823529</v>
      </c>
    </row>
    <row r="18" spans="1:42" x14ac:dyDescent="0.25">
      <c r="A18" s="3">
        <v>10</v>
      </c>
      <c r="B18" s="2" t="s">
        <v>125</v>
      </c>
      <c r="C18" s="52">
        <v>28</v>
      </c>
      <c r="D18" s="52">
        <v>5</v>
      </c>
      <c r="E18" s="52">
        <v>17</v>
      </c>
      <c r="F18" s="52">
        <v>5</v>
      </c>
      <c r="G18" s="52">
        <v>26</v>
      </c>
      <c r="H18" s="52">
        <v>5</v>
      </c>
      <c r="I18" s="52">
        <v>14</v>
      </c>
      <c r="J18" s="52">
        <v>15</v>
      </c>
      <c r="K18" s="52">
        <v>10</v>
      </c>
      <c r="L18" s="52">
        <v>20</v>
      </c>
      <c r="M18" s="52">
        <v>14</v>
      </c>
      <c r="N18" s="52">
        <v>10</v>
      </c>
      <c r="O18" s="52">
        <v>18</v>
      </c>
      <c r="P18" s="52">
        <v>16</v>
      </c>
      <c r="Q18" s="52">
        <v>17</v>
      </c>
      <c r="R18" s="52">
        <v>9</v>
      </c>
      <c r="S18" s="53"/>
      <c r="T18" s="53"/>
      <c r="U18" s="52">
        <v>15</v>
      </c>
      <c r="V18" s="52">
        <v>2</v>
      </c>
      <c r="W18" s="52">
        <v>17</v>
      </c>
      <c r="X18" s="52">
        <v>1</v>
      </c>
      <c r="Y18" s="52">
        <v>20</v>
      </c>
      <c r="Z18" s="52">
        <v>20</v>
      </c>
      <c r="AA18" s="53"/>
      <c r="AB18" s="53"/>
      <c r="AC18" s="52">
        <v>11</v>
      </c>
      <c r="AD18" s="52">
        <v>2</v>
      </c>
      <c r="AE18" s="52">
        <v>15</v>
      </c>
      <c r="AF18" s="52">
        <v>5</v>
      </c>
      <c r="AG18" s="52">
        <v>30</v>
      </c>
      <c r="AH18" s="52">
        <v>1</v>
      </c>
      <c r="AI18" s="52">
        <v>12</v>
      </c>
      <c r="AJ18" s="52">
        <v>5</v>
      </c>
      <c r="AK18" s="52">
        <v>8</v>
      </c>
      <c r="AL18" s="52">
        <v>9</v>
      </c>
      <c r="AM18" s="52">
        <v>9</v>
      </c>
      <c r="AN18" s="52">
        <v>1</v>
      </c>
      <c r="AO18" s="51">
        <f t="shared" si="0"/>
        <v>412</v>
      </c>
      <c r="AP18" s="38">
        <f t="shared" si="1"/>
        <v>24.235294117647058</v>
      </c>
    </row>
    <row r="19" spans="1:42" x14ac:dyDescent="0.25">
      <c r="A19" s="3">
        <v>11</v>
      </c>
      <c r="B19" s="2" t="s">
        <v>126</v>
      </c>
      <c r="C19" s="52">
        <v>28</v>
      </c>
      <c r="D19" s="52">
        <v>27</v>
      </c>
      <c r="E19" s="52">
        <v>18</v>
      </c>
      <c r="F19" s="52">
        <v>2</v>
      </c>
      <c r="G19" s="52">
        <v>25</v>
      </c>
      <c r="H19" s="52">
        <v>18</v>
      </c>
      <c r="I19" s="52">
        <v>14</v>
      </c>
      <c r="J19" s="52">
        <v>15</v>
      </c>
      <c r="K19" s="52">
        <v>20</v>
      </c>
      <c r="L19" s="52">
        <v>20</v>
      </c>
      <c r="M19" s="52">
        <v>18</v>
      </c>
      <c r="N19" s="52">
        <v>10</v>
      </c>
      <c r="O19" s="52">
        <v>18</v>
      </c>
      <c r="P19" s="52">
        <v>11</v>
      </c>
      <c r="Q19" s="52">
        <v>18</v>
      </c>
      <c r="R19" s="52">
        <v>15</v>
      </c>
      <c r="S19" s="53"/>
      <c r="T19" s="53"/>
      <c r="U19" s="52">
        <v>17</v>
      </c>
      <c r="V19" s="52">
        <v>7</v>
      </c>
      <c r="W19" s="52">
        <v>22</v>
      </c>
      <c r="X19" s="52">
        <v>15</v>
      </c>
      <c r="Y19" s="52">
        <v>20</v>
      </c>
      <c r="Z19" s="52">
        <v>25</v>
      </c>
      <c r="AA19" s="53"/>
      <c r="AB19" s="53"/>
      <c r="AC19" s="52">
        <v>14</v>
      </c>
      <c r="AD19" s="52">
        <v>12</v>
      </c>
      <c r="AE19" s="52">
        <v>18</v>
      </c>
      <c r="AF19" s="52">
        <v>5</v>
      </c>
      <c r="AG19" s="52">
        <v>30</v>
      </c>
      <c r="AH19" s="52">
        <v>7</v>
      </c>
      <c r="AI19" s="52">
        <v>15</v>
      </c>
      <c r="AJ19" s="52">
        <v>5</v>
      </c>
      <c r="AK19" s="52">
        <v>20</v>
      </c>
      <c r="AL19" s="52">
        <v>15</v>
      </c>
      <c r="AM19" s="52">
        <v>19</v>
      </c>
      <c r="AN19" s="52">
        <v>27</v>
      </c>
      <c r="AO19" s="51">
        <f t="shared" si="0"/>
        <v>570</v>
      </c>
      <c r="AP19" s="38">
        <f t="shared" si="1"/>
        <v>33.529411764705884</v>
      </c>
    </row>
    <row r="20" spans="1:42" x14ac:dyDescent="0.25">
      <c r="A20" s="3">
        <v>12</v>
      </c>
      <c r="B20" s="2" t="s">
        <v>127</v>
      </c>
      <c r="C20" s="52">
        <v>28</v>
      </c>
      <c r="D20" s="52">
        <v>28</v>
      </c>
      <c r="E20" s="52">
        <v>19</v>
      </c>
      <c r="F20" s="52">
        <v>14</v>
      </c>
      <c r="G20" s="52">
        <v>27</v>
      </c>
      <c r="H20" s="52">
        <v>7</v>
      </c>
      <c r="I20" s="52">
        <v>16</v>
      </c>
      <c r="J20" s="52">
        <v>24</v>
      </c>
      <c r="K20" s="52">
        <v>20</v>
      </c>
      <c r="L20" s="52">
        <v>20</v>
      </c>
      <c r="M20" s="52">
        <v>19</v>
      </c>
      <c r="N20" s="52">
        <v>12</v>
      </c>
      <c r="O20" s="52">
        <v>18</v>
      </c>
      <c r="P20" s="52">
        <v>24</v>
      </c>
      <c r="Q20" s="52">
        <v>21</v>
      </c>
      <c r="R20" s="52">
        <v>10</v>
      </c>
      <c r="S20" s="53"/>
      <c r="T20" s="53"/>
      <c r="U20" s="52">
        <v>16</v>
      </c>
      <c r="V20" s="52">
        <v>4</v>
      </c>
      <c r="W20" s="52">
        <v>21</v>
      </c>
      <c r="X20" s="52">
        <v>13</v>
      </c>
      <c r="Y20" s="52">
        <v>25</v>
      </c>
      <c r="Z20" s="52">
        <v>25</v>
      </c>
      <c r="AA20" s="53"/>
      <c r="AB20" s="53"/>
      <c r="AC20" s="52">
        <v>14</v>
      </c>
      <c r="AD20" s="52">
        <v>23</v>
      </c>
      <c r="AE20" s="52">
        <v>18</v>
      </c>
      <c r="AF20" s="52">
        <v>18</v>
      </c>
      <c r="AG20" s="52">
        <v>30</v>
      </c>
      <c r="AH20" s="52">
        <v>10</v>
      </c>
      <c r="AI20" s="52">
        <v>16</v>
      </c>
      <c r="AJ20" s="52">
        <v>7</v>
      </c>
      <c r="AK20" s="52">
        <v>22</v>
      </c>
      <c r="AL20" s="52">
        <v>23</v>
      </c>
      <c r="AM20" s="52">
        <v>14</v>
      </c>
      <c r="AN20" s="52">
        <v>38</v>
      </c>
      <c r="AO20" s="51">
        <f t="shared" si="0"/>
        <v>644</v>
      </c>
      <c r="AP20" s="38">
        <f t="shared" si="1"/>
        <v>37.882352941176471</v>
      </c>
    </row>
    <row r="21" spans="1:42" x14ac:dyDescent="0.25">
      <c r="A21" s="3">
        <v>13</v>
      </c>
      <c r="B21" s="2" t="s">
        <v>128</v>
      </c>
      <c r="C21" s="52">
        <v>28</v>
      </c>
      <c r="D21" s="52">
        <v>36</v>
      </c>
      <c r="E21" s="52">
        <v>20</v>
      </c>
      <c r="F21" s="52">
        <v>39</v>
      </c>
      <c r="G21" s="52">
        <v>26</v>
      </c>
      <c r="H21" s="52">
        <v>15</v>
      </c>
      <c r="I21" s="52">
        <v>14</v>
      </c>
      <c r="J21" s="52">
        <v>35</v>
      </c>
      <c r="K21" s="52">
        <v>29</v>
      </c>
      <c r="L21" s="52">
        <v>53</v>
      </c>
      <c r="M21" s="52">
        <v>17</v>
      </c>
      <c r="N21" s="52">
        <v>15</v>
      </c>
      <c r="O21" s="52">
        <v>20</v>
      </c>
      <c r="P21" s="52">
        <v>45</v>
      </c>
      <c r="Q21" s="52">
        <v>19</v>
      </c>
      <c r="R21" s="52">
        <v>13</v>
      </c>
      <c r="S21" s="53"/>
      <c r="T21" s="53"/>
      <c r="U21" s="52">
        <v>18</v>
      </c>
      <c r="V21" s="52">
        <v>22</v>
      </c>
      <c r="W21" s="52">
        <v>26</v>
      </c>
      <c r="X21" s="52">
        <v>32</v>
      </c>
      <c r="Y21" s="52">
        <v>25</v>
      </c>
      <c r="Z21" s="52">
        <v>35</v>
      </c>
      <c r="AA21" s="53"/>
      <c r="AB21" s="53"/>
      <c r="AC21" s="52">
        <v>18</v>
      </c>
      <c r="AD21" s="52">
        <v>35</v>
      </c>
      <c r="AE21" s="52">
        <v>17</v>
      </c>
      <c r="AF21" s="52">
        <v>37</v>
      </c>
      <c r="AG21" s="52">
        <v>29</v>
      </c>
      <c r="AH21" s="52">
        <v>22</v>
      </c>
      <c r="AI21" s="52">
        <v>16</v>
      </c>
      <c r="AJ21" s="52">
        <v>15</v>
      </c>
      <c r="AK21" s="52">
        <v>23</v>
      </c>
      <c r="AL21" s="52">
        <v>25</v>
      </c>
      <c r="AM21" s="52">
        <v>19</v>
      </c>
      <c r="AN21" s="52">
        <v>35</v>
      </c>
      <c r="AO21" s="51">
        <f t="shared" si="0"/>
        <v>873</v>
      </c>
      <c r="AP21" s="38">
        <f t="shared" si="1"/>
        <v>51.352941176470587</v>
      </c>
    </row>
    <row r="22" spans="1:42" x14ac:dyDescent="0.25">
      <c r="A22" s="3">
        <v>14</v>
      </c>
      <c r="B22" s="2" t="s">
        <v>129</v>
      </c>
      <c r="C22" s="52">
        <v>28</v>
      </c>
      <c r="D22" s="52">
        <v>36</v>
      </c>
      <c r="E22" s="52">
        <v>27</v>
      </c>
      <c r="F22" s="52">
        <v>56</v>
      </c>
      <c r="G22" s="52">
        <v>25</v>
      </c>
      <c r="H22" s="52">
        <v>29</v>
      </c>
      <c r="I22" s="52">
        <v>17</v>
      </c>
      <c r="J22" s="52">
        <v>30</v>
      </c>
      <c r="K22" s="52">
        <v>21</v>
      </c>
      <c r="L22" s="52">
        <v>34</v>
      </c>
      <c r="M22" s="52">
        <v>18</v>
      </c>
      <c r="N22" s="52">
        <v>12</v>
      </c>
      <c r="O22" s="52">
        <v>22</v>
      </c>
      <c r="P22" s="52">
        <v>28</v>
      </c>
      <c r="Q22" s="52">
        <v>22</v>
      </c>
      <c r="R22" s="52">
        <v>21</v>
      </c>
      <c r="S22" s="53"/>
      <c r="T22" s="53"/>
      <c r="U22" s="52">
        <v>20</v>
      </c>
      <c r="V22" s="52">
        <v>12</v>
      </c>
      <c r="W22" s="52">
        <v>27</v>
      </c>
      <c r="X22" s="52">
        <v>33</v>
      </c>
      <c r="Y22" s="52">
        <v>26</v>
      </c>
      <c r="Z22" s="52">
        <v>30</v>
      </c>
      <c r="AA22" s="53"/>
      <c r="AB22" s="53"/>
      <c r="AC22" s="52">
        <v>16</v>
      </c>
      <c r="AD22" s="52">
        <v>24</v>
      </c>
      <c r="AE22" s="52">
        <v>19</v>
      </c>
      <c r="AF22" s="52">
        <v>40</v>
      </c>
      <c r="AG22" s="52">
        <v>28</v>
      </c>
      <c r="AH22" s="52">
        <v>18</v>
      </c>
      <c r="AI22" s="52">
        <v>17</v>
      </c>
      <c r="AJ22" s="52">
        <v>15</v>
      </c>
      <c r="AK22" s="52">
        <v>21</v>
      </c>
      <c r="AL22" s="52">
        <v>19</v>
      </c>
      <c r="AM22" s="52">
        <v>21</v>
      </c>
      <c r="AN22" s="52">
        <v>41</v>
      </c>
      <c r="AO22" s="51">
        <f t="shared" si="0"/>
        <v>853</v>
      </c>
      <c r="AP22" s="38">
        <f t="shared" si="1"/>
        <v>50.176470588235297</v>
      </c>
    </row>
    <row r="23" spans="1:42" x14ac:dyDescent="0.25">
      <c r="A23" s="3">
        <v>15</v>
      </c>
      <c r="B23" s="2" t="s">
        <v>130</v>
      </c>
      <c r="C23" s="52">
        <v>28</v>
      </c>
      <c r="D23" s="52">
        <v>21</v>
      </c>
      <c r="E23" s="52">
        <v>21</v>
      </c>
      <c r="F23" s="52">
        <v>29</v>
      </c>
      <c r="G23" s="52">
        <v>20</v>
      </c>
      <c r="H23" s="52">
        <v>5</v>
      </c>
      <c r="I23" s="52">
        <v>16</v>
      </c>
      <c r="J23" s="52">
        <v>20</v>
      </c>
      <c r="K23" s="52">
        <v>20</v>
      </c>
      <c r="L23" s="52">
        <v>20</v>
      </c>
      <c r="M23" s="52">
        <v>17</v>
      </c>
      <c r="N23" s="52">
        <v>12</v>
      </c>
      <c r="O23" s="52">
        <v>18</v>
      </c>
      <c r="P23" s="52">
        <v>16</v>
      </c>
      <c r="Q23" s="52">
        <v>20</v>
      </c>
      <c r="R23" s="52">
        <v>20</v>
      </c>
      <c r="S23" s="53"/>
      <c r="T23" s="53"/>
      <c r="U23" s="52">
        <v>13</v>
      </c>
      <c r="V23" s="52">
        <v>32</v>
      </c>
      <c r="W23" s="52">
        <v>25</v>
      </c>
      <c r="X23" s="52">
        <v>26</v>
      </c>
      <c r="Y23" s="52">
        <v>20</v>
      </c>
      <c r="Z23" s="52">
        <v>28</v>
      </c>
      <c r="AA23" s="53"/>
      <c r="AB23" s="53"/>
      <c r="AC23" s="52">
        <v>16</v>
      </c>
      <c r="AD23" s="52">
        <v>24</v>
      </c>
      <c r="AE23" s="52">
        <v>19</v>
      </c>
      <c r="AF23" s="52">
        <v>10</v>
      </c>
      <c r="AG23" s="52">
        <v>29</v>
      </c>
      <c r="AH23" s="52">
        <v>0</v>
      </c>
      <c r="AI23" s="52">
        <v>13</v>
      </c>
      <c r="AJ23" s="52">
        <v>5</v>
      </c>
      <c r="AK23" s="52">
        <v>19</v>
      </c>
      <c r="AL23" s="52">
        <v>8</v>
      </c>
      <c r="AM23" s="52">
        <v>25</v>
      </c>
      <c r="AN23" s="52">
        <v>17</v>
      </c>
      <c r="AO23" s="51">
        <f t="shared" si="0"/>
        <v>632</v>
      </c>
      <c r="AP23" s="38">
        <f t="shared" si="1"/>
        <v>37.176470588235297</v>
      </c>
    </row>
    <row r="24" spans="1:42" x14ac:dyDescent="0.25">
      <c r="A24" s="3">
        <v>16</v>
      </c>
      <c r="B24" s="2" t="s">
        <v>131</v>
      </c>
      <c r="C24" s="52">
        <v>28</v>
      </c>
      <c r="D24" s="52">
        <v>57</v>
      </c>
      <c r="E24" s="52">
        <v>25</v>
      </c>
      <c r="F24" s="52">
        <v>60</v>
      </c>
      <c r="G24" s="52">
        <v>22</v>
      </c>
      <c r="H24" s="52">
        <v>39</v>
      </c>
      <c r="I24" s="52">
        <v>19</v>
      </c>
      <c r="J24" s="52">
        <v>15</v>
      </c>
      <c r="K24" s="52">
        <v>24</v>
      </c>
      <c r="L24" s="52">
        <v>40</v>
      </c>
      <c r="M24" s="52">
        <v>23</v>
      </c>
      <c r="N24" s="52">
        <v>55</v>
      </c>
      <c r="O24" s="52">
        <v>22</v>
      </c>
      <c r="P24" s="52">
        <v>43</v>
      </c>
      <c r="Q24" s="52">
        <v>29</v>
      </c>
      <c r="R24" s="52">
        <v>33</v>
      </c>
      <c r="S24" s="53"/>
      <c r="T24" s="53"/>
      <c r="U24" s="52">
        <v>21</v>
      </c>
      <c r="V24" s="52">
        <v>46</v>
      </c>
      <c r="W24" s="52">
        <v>29</v>
      </c>
      <c r="X24" s="52">
        <v>50</v>
      </c>
      <c r="Y24" s="52">
        <v>25</v>
      </c>
      <c r="Z24" s="52">
        <v>40</v>
      </c>
      <c r="AA24" s="53"/>
      <c r="AB24" s="53"/>
      <c r="AC24" s="52">
        <v>20</v>
      </c>
      <c r="AD24" s="52">
        <v>52</v>
      </c>
      <c r="AE24" s="52">
        <v>12</v>
      </c>
      <c r="AF24" s="52">
        <v>58</v>
      </c>
      <c r="AG24" s="52">
        <v>27</v>
      </c>
      <c r="AH24" s="52">
        <v>30</v>
      </c>
      <c r="AI24" s="52">
        <v>16</v>
      </c>
      <c r="AJ24" s="52">
        <v>17</v>
      </c>
      <c r="AK24" s="52">
        <v>21</v>
      </c>
      <c r="AL24" s="52">
        <v>47</v>
      </c>
      <c r="AM24" s="52">
        <v>24</v>
      </c>
      <c r="AN24" s="52">
        <v>52</v>
      </c>
      <c r="AO24" s="51">
        <f t="shared" si="0"/>
        <v>1121</v>
      </c>
      <c r="AP24" s="38">
        <f t="shared" si="1"/>
        <v>65.941176470588232</v>
      </c>
    </row>
    <row r="25" spans="1:42" x14ac:dyDescent="0.25">
      <c r="A25" s="3">
        <v>17</v>
      </c>
      <c r="B25" s="2" t="s">
        <v>132</v>
      </c>
      <c r="C25" s="52">
        <v>28</v>
      </c>
      <c r="D25" s="52">
        <v>26</v>
      </c>
      <c r="E25" s="52">
        <v>28</v>
      </c>
      <c r="F25" s="52">
        <v>45</v>
      </c>
      <c r="G25" s="52">
        <v>23</v>
      </c>
      <c r="H25" s="52">
        <v>39</v>
      </c>
      <c r="I25" s="52">
        <v>20</v>
      </c>
      <c r="J25" s="52">
        <v>38</v>
      </c>
      <c r="K25" s="52">
        <v>20</v>
      </c>
      <c r="L25" s="52">
        <v>20</v>
      </c>
      <c r="M25" s="52">
        <v>17</v>
      </c>
      <c r="N25" s="52">
        <v>10</v>
      </c>
      <c r="O25" s="52">
        <v>28</v>
      </c>
      <c r="P25" s="52">
        <v>34</v>
      </c>
      <c r="Q25" s="52">
        <v>9</v>
      </c>
      <c r="R25" s="52">
        <v>25</v>
      </c>
      <c r="S25" s="53"/>
      <c r="T25" s="53"/>
      <c r="U25" s="52">
        <v>20</v>
      </c>
      <c r="V25" s="52">
        <v>30</v>
      </c>
      <c r="W25" s="52">
        <v>20</v>
      </c>
      <c r="X25" s="52">
        <v>9</v>
      </c>
      <c r="Y25" s="52">
        <v>22</v>
      </c>
      <c r="Z25" s="52">
        <v>38</v>
      </c>
      <c r="AA25" s="53"/>
      <c r="AB25" s="53"/>
      <c r="AC25" s="52">
        <v>16</v>
      </c>
      <c r="AD25" s="52">
        <v>24</v>
      </c>
      <c r="AE25" s="52">
        <v>19</v>
      </c>
      <c r="AF25" s="52">
        <v>17</v>
      </c>
      <c r="AG25" s="52">
        <v>28</v>
      </c>
      <c r="AH25" s="52">
        <v>26</v>
      </c>
      <c r="AI25" s="52">
        <v>19</v>
      </c>
      <c r="AJ25" s="52">
        <v>31</v>
      </c>
      <c r="AK25" s="52">
        <v>13</v>
      </c>
      <c r="AL25" s="52">
        <v>28</v>
      </c>
      <c r="AM25" s="52">
        <v>11</v>
      </c>
      <c r="AN25" s="52">
        <v>21</v>
      </c>
      <c r="AO25" s="51">
        <f t="shared" si="0"/>
        <v>802</v>
      </c>
      <c r="AP25" s="38">
        <f t="shared" si="1"/>
        <v>47.176470588235297</v>
      </c>
    </row>
    <row r="26" spans="1:42" x14ac:dyDescent="0.25">
      <c r="A26" s="3">
        <v>18</v>
      </c>
      <c r="B26" s="2" t="s">
        <v>133</v>
      </c>
      <c r="C26" s="52">
        <v>28</v>
      </c>
      <c r="D26" s="52">
        <v>55</v>
      </c>
      <c r="E26" s="52">
        <v>29</v>
      </c>
      <c r="F26" s="52">
        <v>63</v>
      </c>
      <c r="G26" s="52">
        <v>23</v>
      </c>
      <c r="H26" s="52">
        <v>34</v>
      </c>
      <c r="I26" s="52">
        <v>22</v>
      </c>
      <c r="J26" s="52">
        <v>40</v>
      </c>
      <c r="K26" s="52">
        <v>25</v>
      </c>
      <c r="L26" s="52">
        <v>45</v>
      </c>
      <c r="M26" s="52">
        <v>28</v>
      </c>
      <c r="N26" s="52">
        <v>32</v>
      </c>
      <c r="O26" s="52">
        <v>19</v>
      </c>
      <c r="P26" s="52">
        <v>42</v>
      </c>
      <c r="Q26" s="52">
        <v>30</v>
      </c>
      <c r="R26" s="52">
        <v>46</v>
      </c>
      <c r="S26" s="53"/>
      <c r="T26" s="53"/>
      <c r="U26" s="52">
        <v>19</v>
      </c>
      <c r="V26" s="52">
        <v>36</v>
      </c>
      <c r="W26" s="52">
        <v>24</v>
      </c>
      <c r="X26" s="52">
        <v>52</v>
      </c>
      <c r="Y26" s="52">
        <v>25</v>
      </c>
      <c r="Z26" s="52">
        <v>40</v>
      </c>
      <c r="AA26" s="53"/>
      <c r="AB26" s="53"/>
      <c r="AC26" s="52">
        <v>22</v>
      </c>
      <c r="AD26" s="52">
        <v>50</v>
      </c>
      <c r="AE26" s="52">
        <v>23</v>
      </c>
      <c r="AF26" s="52">
        <v>40</v>
      </c>
      <c r="AG26" s="52">
        <v>27</v>
      </c>
      <c r="AH26" s="52">
        <v>45</v>
      </c>
      <c r="AI26" s="52">
        <v>20</v>
      </c>
      <c r="AJ26" s="52">
        <v>18</v>
      </c>
      <c r="AK26" s="52">
        <v>24</v>
      </c>
      <c r="AL26" s="52">
        <v>48</v>
      </c>
      <c r="AM26" s="52">
        <v>29</v>
      </c>
      <c r="AN26" s="52">
        <v>36</v>
      </c>
      <c r="AO26" s="51">
        <f t="shared" si="0"/>
        <v>1139</v>
      </c>
      <c r="AP26" s="38">
        <f t="shared" si="1"/>
        <v>67</v>
      </c>
    </row>
    <row r="27" spans="1:42" x14ac:dyDescent="0.25">
      <c r="A27" s="3">
        <v>19</v>
      </c>
      <c r="B27" s="2" t="s">
        <v>134</v>
      </c>
      <c r="C27" s="52">
        <v>28</v>
      </c>
      <c r="D27" s="52">
        <v>26</v>
      </c>
      <c r="E27" s="52">
        <v>25</v>
      </c>
      <c r="F27" s="52">
        <v>33</v>
      </c>
      <c r="G27" s="52">
        <v>28</v>
      </c>
      <c r="H27" s="52">
        <v>19</v>
      </c>
      <c r="I27" s="52">
        <v>19</v>
      </c>
      <c r="J27" s="52">
        <v>32</v>
      </c>
      <c r="K27" s="52">
        <v>28</v>
      </c>
      <c r="L27" s="52">
        <v>22</v>
      </c>
      <c r="M27" s="52">
        <v>16</v>
      </c>
      <c r="N27" s="52">
        <v>24</v>
      </c>
      <c r="O27" s="52">
        <v>22</v>
      </c>
      <c r="P27" s="52">
        <v>21</v>
      </c>
      <c r="Q27" s="52">
        <v>8</v>
      </c>
      <c r="R27" s="52">
        <v>14</v>
      </c>
      <c r="S27" s="53"/>
      <c r="T27" s="53"/>
      <c r="U27" s="52">
        <v>22</v>
      </c>
      <c r="V27" s="52">
        <v>26</v>
      </c>
      <c r="W27" s="52">
        <v>23</v>
      </c>
      <c r="X27" s="52">
        <v>30</v>
      </c>
      <c r="Y27" s="52">
        <v>26</v>
      </c>
      <c r="Z27" s="52">
        <v>36</v>
      </c>
      <c r="AA27" s="53"/>
      <c r="AB27" s="53"/>
      <c r="AC27" s="52">
        <v>17</v>
      </c>
      <c r="AD27" s="52">
        <v>10</v>
      </c>
      <c r="AE27" s="52">
        <v>22</v>
      </c>
      <c r="AF27" s="52">
        <v>59</v>
      </c>
      <c r="AG27" s="52">
        <v>27</v>
      </c>
      <c r="AH27" s="52">
        <v>30</v>
      </c>
      <c r="AI27" s="52">
        <v>16</v>
      </c>
      <c r="AJ27" s="52">
        <v>12</v>
      </c>
      <c r="AK27" s="52">
        <v>23</v>
      </c>
      <c r="AL27" s="52">
        <v>23</v>
      </c>
      <c r="AM27" s="52">
        <v>28</v>
      </c>
      <c r="AN27" s="52">
        <v>40</v>
      </c>
      <c r="AO27" s="51">
        <f t="shared" si="0"/>
        <v>835</v>
      </c>
      <c r="AP27" s="38">
        <f t="shared" si="1"/>
        <v>49.117647058823529</v>
      </c>
    </row>
    <row r="28" spans="1:42" x14ac:dyDescent="0.25">
      <c r="A28" s="3">
        <v>20</v>
      </c>
      <c r="B28" s="2" t="s">
        <v>135</v>
      </c>
      <c r="C28" s="52">
        <v>28</v>
      </c>
      <c r="D28" s="52">
        <v>68</v>
      </c>
      <c r="E28" s="52">
        <v>30</v>
      </c>
      <c r="F28" s="52">
        <v>55</v>
      </c>
      <c r="G28" s="52">
        <v>29</v>
      </c>
      <c r="H28" s="52">
        <v>63</v>
      </c>
      <c r="I28" s="52">
        <v>24</v>
      </c>
      <c r="J28" s="52">
        <v>52</v>
      </c>
      <c r="K28" s="52">
        <v>23</v>
      </c>
      <c r="L28" s="52">
        <v>30</v>
      </c>
      <c r="M28" s="52">
        <v>27</v>
      </c>
      <c r="N28" s="52">
        <v>33</v>
      </c>
      <c r="O28" s="52">
        <v>20</v>
      </c>
      <c r="P28" s="52">
        <v>36</v>
      </c>
      <c r="Q28" s="52">
        <v>22</v>
      </c>
      <c r="R28" s="52">
        <v>24</v>
      </c>
      <c r="S28" s="53"/>
      <c r="T28" s="53"/>
      <c r="U28" s="52">
        <v>14</v>
      </c>
      <c r="V28" s="52">
        <v>23</v>
      </c>
      <c r="W28" s="52">
        <v>29</v>
      </c>
      <c r="X28" s="52">
        <v>46</v>
      </c>
      <c r="Y28" s="52">
        <v>25</v>
      </c>
      <c r="Z28" s="52">
        <v>50</v>
      </c>
      <c r="AA28" s="53"/>
      <c r="AB28" s="53"/>
      <c r="AC28" s="52">
        <v>25</v>
      </c>
      <c r="AD28" s="52">
        <v>54</v>
      </c>
      <c r="AE28" s="52">
        <v>25</v>
      </c>
      <c r="AF28" s="52">
        <v>60</v>
      </c>
      <c r="AG28" s="52">
        <v>29</v>
      </c>
      <c r="AH28" s="52">
        <v>53</v>
      </c>
      <c r="AI28" s="52">
        <v>19</v>
      </c>
      <c r="AJ28" s="52">
        <v>34</v>
      </c>
      <c r="AK28" s="52">
        <v>21</v>
      </c>
      <c r="AL28" s="52">
        <v>40</v>
      </c>
      <c r="AM28" s="52">
        <v>26</v>
      </c>
      <c r="AN28" s="52">
        <v>37</v>
      </c>
      <c r="AO28" s="51">
        <f t="shared" si="0"/>
        <v>1174</v>
      </c>
      <c r="AP28" s="38">
        <f t="shared" si="1"/>
        <v>69.058823529411768</v>
      </c>
    </row>
    <row r="29" spans="1:42" x14ac:dyDescent="0.25">
      <c r="A29" s="3">
        <v>21</v>
      </c>
      <c r="B29" s="2" t="s">
        <v>136</v>
      </c>
      <c r="C29" s="52">
        <v>28</v>
      </c>
      <c r="D29" s="52">
        <v>62</v>
      </c>
      <c r="E29" s="52">
        <v>27</v>
      </c>
      <c r="F29" s="52">
        <v>47</v>
      </c>
      <c r="G29" s="52">
        <v>28</v>
      </c>
      <c r="H29" s="52">
        <v>54</v>
      </c>
      <c r="I29" s="52">
        <v>25</v>
      </c>
      <c r="J29" s="52">
        <v>30</v>
      </c>
      <c r="K29" s="52">
        <v>23</v>
      </c>
      <c r="L29" s="52">
        <v>45</v>
      </c>
      <c r="M29" s="52">
        <v>23</v>
      </c>
      <c r="N29" s="52">
        <v>12</v>
      </c>
      <c r="O29" s="52">
        <v>23</v>
      </c>
      <c r="P29" s="52">
        <v>8</v>
      </c>
      <c r="Q29" s="52">
        <v>24</v>
      </c>
      <c r="R29" s="52">
        <v>16</v>
      </c>
      <c r="S29" s="53"/>
      <c r="T29" s="53"/>
      <c r="U29" s="52">
        <v>11</v>
      </c>
      <c r="V29" s="52">
        <v>61</v>
      </c>
      <c r="W29" s="52">
        <v>27</v>
      </c>
      <c r="X29" s="52">
        <v>49</v>
      </c>
      <c r="Y29" s="52">
        <v>25</v>
      </c>
      <c r="Z29" s="52">
        <v>25</v>
      </c>
      <c r="AA29" s="53"/>
      <c r="AB29" s="53"/>
      <c r="AC29" s="52">
        <v>22</v>
      </c>
      <c r="AD29" s="52">
        <v>34</v>
      </c>
      <c r="AE29" s="52">
        <v>19</v>
      </c>
      <c r="AF29" s="52">
        <v>38</v>
      </c>
      <c r="AG29" s="52">
        <v>27</v>
      </c>
      <c r="AH29" s="52">
        <v>45</v>
      </c>
      <c r="AI29" s="52">
        <v>17</v>
      </c>
      <c r="AJ29" s="52">
        <v>23</v>
      </c>
      <c r="AK29" s="52">
        <v>23</v>
      </c>
      <c r="AL29" s="52">
        <v>27</v>
      </c>
      <c r="AM29" s="52">
        <v>26</v>
      </c>
      <c r="AN29" s="52">
        <v>54</v>
      </c>
      <c r="AO29" s="51">
        <f t="shared" si="0"/>
        <v>1028</v>
      </c>
      <c r="AP29" s="38">
        <f t="shared" si="1"/>
        <v>60.470588235294116</v>
      </c>
    </row>
    <row r="30" spans="1:42" x14ac:dyDescent="0.25">
      <c r="A30" s="3">
        <v>22</v>
      </c>
      <c r="B30" s="2" t="s">
        <v>137</v>
      </c>
      <c r="C30" s="52">
        <v>28</v>
      </c>
      <c r="D30" s="52">
        <v>28</v>
      </c>
      <c r="E30" s="52">
        <v>28</v>
      </c>
      <c r="F30" s="52">
        <v>28</v>
      </c>
      <c r="G30" s="52">
        <v>28</v>
      </c>
      <c r="H30" s="52">
        <v>43</v>
      </c>
      <c r="I30" s="52">
        <v>17</v>
      </c>
      <c r="J30" s="52">
        <v>16</v>
      </c>
      <c r="K30" s="52">
        <v>24</v>
      </c>
      <c r="L30" s="52">
        <v>30</v>
      </c>
      <c r="M30" s="52">
        <v>17</v>
      </c>
      <c r="N30" s="52">
        <v>29</v>
      </c>
      <c r="O30" s="52">
        <v>21</v>
      </c>
      <c r="P30" s="52">
        <v>20</v>
      </c>
      <c r="Q30" s="52">
        <v>21</v>
      </c>
      <c r="R30" s="52">
        <v>15</v>
      </c>
      <c r="S30" s="53"/>
      <c r="T30" s="53"/>
      <c r="U30" s="52">
        <v>30</v>
      </c>
      <c r="V30" s="52">
        <v>38</v>
      </c>
      <c r="W30" s="52">
        <v>23</v>
      </c>
      <c r="X30" s="52">
        <v>27</v>
      </c>
      <c r="Y30" s="52">
        <v>20</v>
      </c>
      <c r="Z30" s="52">
        <v>20</v>
      </c>
      <c r="AA30" s="53"/>
      <c r="AB30" s="53"/>
      <c r="AC30" s="52">
        <v>17</v>
      </c>
      <c r="AD30" s="52">
        <v>22</v>
      </c>
      <c r="AE30" s="52">
        <v>21</v>
      </c>
      <c r="AF30" s="52">
        <v>40</v>
      </c>
      <c r="AG30" s="52">
        <v>26</v>
      </c>
      <c r="AH30" s="52">
        <v>20</v>
      </c>
      <c r="AI30" s="52">
        <v>21</v>
      </c>
      <c r="AJ30" s="52">
        <v>8</v>
      </c>
      <c r="AK30" s="52">
        <v>19</v>
      </c>
      <c r="AL30" s="52">
        <v>14</v>
      </c>
      <c r="AM30" s="52">
        <v>21</v>
      </c>
      <c r="AN30" s="52">
        <v>60</v>
      </c>
      <c r="AO30" s="51">
        <f t="shared" si="0"/>
        <v>840</v>
      </c>
      <c r="AP30" s="38">
        <f t="shared" si="1"/>
        <v>49.411764705882355</v>
      </c>
    </row>
    <row r="31" spans="1:42" x14ac:dyDescent="0.25">
      <c r="A31" s="3">
        <v>23</v>
      </c>
      <c r="B31" s="2"/>
      <c r="C31" s="62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4"/>
      <c r="T31" s="64"/>
      <c r="U31" s="63"/>
      <c r="V31" s="63"/>
      <c r="W31" s="63"/>
      <c r="X31" s="63"/>
      <c r="Y31" s="63"/>
      <c r="Z31" s="63"/>
      <c r="AA31" s="64"/>
      <c r="AB31" s="64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51">
        <f t="shared" si="0"/>
        <v>0</v>
      </c>
      <c r="AP31" s="38">
        <f t="shared" si="1"/>
        <v>0</v>
      </c>
    </row>
    <row r="32" spans="1:42" x14ac:dyDescent="0.25">
      <c r="A32" s="3">
        <v>24</v>
      </c>
      <c r="B32" s="2"/>
      <c r="C32" s="57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3"/>
      <c r="T32" s="53"/>
      <c r="U32" s="52"/>
      <c r="V32" s="52"/>
      <c r="W32" s="52"/>
      <c r="X32" s="52"/>
      <c r="Y32" s="52"/>
      <c r="Z32" s="52"/>
      <c r="AA32" s="53"/>
      <c r="AB32" s="53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1">
        <f t="shared" si="0"/>
        <v>0</v>
      </c>
      <c r="AP32" s="38">
        <f t="shared" si="1"/>
        <v>0</v>
      </c>
    </row>
    <row r="33" spans="1:42" x14ac:dyDescent="0.25">
      <c r="A33" s="3">
        <v>25</v>
      </c>
      <c r="B33" s="2"/>
      <c r="C33" s="57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  <c r="T33" s="53"/>
      <c r="U33" s="52"/>
      <c r="V33" s="52"/>
      <c r="W33" s="52"/>
      <c r="X33" s="52"/>
      <c r="Y33" s="52"/>
      <c r="Z33" s="52"/>
      <c r="AA33" s="53"/>
      <c r="AB33" s="53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1">
        <f t="shared" si="0"/>
        <v>0</v>
      </c>
      <c r="AP33" s="38">
        <f t="shared" si="1"/>
        <v>0</v>
      </c>
    </row>
    <row r="34" spans="1:42" x14ac:dyDescent="0.25">
      <c r="A34" s="3">
        <v>26</v>
      </c>
      <c r="B34" s="2"/>
      <c r="C34" s="5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3"/>
      <c r="T34" s="53"/>
      <c r="U34" s="52"/>
      <c r="V34" s="52"/>
      <c r="W34" s="52"/>
      <c r="X34" s="52"/>
      <c r="Y34" s="52"/>
      <c r="Z34" s="52"/>
      <c r="AA34" s="53"/>
      <c r="AB34" s="53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1">
        <f t="shared" si="0"/>
        <v>0</v>
      </c>
      <c r="AP34" s="38">
        <f t="shared" si="1"/>
        <v>0</v>
      </c>
    </row>
    <row r="35" spans="1:42" x14ac:dyDescent="0.25">
      <c r="A35" s="3">
        <v>27</v>
      </c>
      <c r="B35" s="2"/>
      <c r="C35" s="57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3"/>
      <c r="T35" s="53"/>
      <c r="U35" s="52"/>
      <c r="V35" s="52"/>
      <c r="W35" s="52"/>
      <c r="X35" s="52"/>
      <c r="Y35" s="52"/>
      <c r="Z35" s="52"/>
      <c r="AA35" s="53"/>
      <c r="AB35" s="53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1">
        <f t="shared" si="0"/>
        <v>0</v>
      </c>
      <c r="AP35" s="38">
        <f t="shared" si="1"/>
        <v>0</v>
      </c>
    </row>
    <row r="36" spans="1:42" x14ac:dyDescent="0.25">
      <c r="A36" s="3">
        <v>28</v>
      </c>
      <c r="B36" s="2"/>
      <c r="C36" s="57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3"/>
      <c r="T36" s="53"/>
      <c r="U36" s="52"/>
      <c r="V36" s="52"/>
      <c r="W36" s="52"/>
      <c r="X36" s="52"/>
      <c r="Y36" s="52"/>
      <c r="Z36" s="52"/>
      <c r="AA36" s="53"/>
      <c r="AB36" s="53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1">
        <f t="shared" si="0"/>
        <v>0</v>
      </c>
      <c r="AP36" s="38">
        <f t="shared" si="1"/>
        <v>0</v>
      </c>
    </row>
    <row r="37" spans="1:42" x14ac:dyDescent="0.25">
      <c r="A37" s="3">
        <v>29</v>
      </c>
      <c r="B37" s="2"/>
      <c r="C37" s="57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3"/>
      <c r="T37" s="53"/>
      <c r="U37" s="52"/>
      <c r="V37" s="52"/>
      <c r="W37" s="52"/>
      <c r="X37" s="52"/>
      <c r="Y37" s="52"/>
      <c r="Z37" s="52"/>
      <c r="AA37" s="53"/>
      <c r="AB37" s="53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1">
        <f t="shared" si="0"/>
        <v>0</v>
      </c>
      <c r="AP37" s="38">
        <f t="shared" si="1"/>
        <v>0</v>
      </c>
    </row>
    <row r="38" spans="1:42" x14ac:dyDescent="0.25">
      <c r="A38" s="3">
        <v>30</v>
      </c>
      <c r="B38" s="2"/>
      <c r="C38" s="57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3"/>
      <c r="T38" s="53"/>
      <c r="U38" s="52"/>
      <c r="V38" s="52"/>
      <c r="W38" s="52"/>
      <c r="X38" s="52"/>
      <c r="Y38" s="52"/>
      <c r="Z38" s="52"/>
      <c r="AA38" s="53"/>
      <c r="AB38" s="53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1">
        <f t="shared" si="0"/>
        <v>0</v>
      </c>
      <c r="AP38" s="38">
        <f t="shared" si="1"/>
        <v>0</v>
      </c>
    </row>
    <row r="39" spans="1:42" x14ac:dyDescent="0.25">
      <c r="A39" s="3">
        <v>31</v>
      </c>
      <c r="B39" s="50"/>
      <c r="C39" s="57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1">
        <f t="shared" si="0"/>
        <v>0</v>
      </c>
      <c r="AP39" s="38">
        <f t="shared" si="1"/>
        <v>0</v>
      </c>
    </row>
    <row r="40" spans="1:42" x14ac:dyDescent="0.25">
      <c r="A40" s="3">
        <v>32</v>
      </c>
      <c r="B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51">
        <f t="shared" si="0"/>
        <v>0</v>
      </c>
      <c r="AP40" s="38">
        <f t="shared" si="1"/>
        <v>0</v>
      </c>
    </row>
    <row r="41" spans="1:42" x14ac:dyDescent="0.25">
      <c r="A41" s="3">
        <v>33</v>
      </c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1">
        <f t="shared" si="0"/>
        <v>0</v>
      </c>
      <c r="AP41" s="38">
        <f t="shared" si="1"/>
        <v>0</v>
      </c>
    </row>
    <row r="42" spans="1:42" x14ac:dyDescent="0.25">
      <c r="A42" s="1">
        <v>34</v>
      </c>
      <c r="B42" s="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51">
        <f t="shared" si="0"/>
        <v>0</v>
      </c>
      <c r="AP42" s="38">
        <f t="shared" si="1"/>
        <v>0</v>
      </c>
    </row>
    <row r="43" spans="1:42" x14ac:dyDescent="0.25">
      <c r="A43" s="1">
        <v>35</v>
      </c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51">
        <f t="shared" si="0"/>
        <v>0</v>
      </c>
      <c r="AP43" s="38">
        <f t="shared" si="1"/>
        <v>0</v>
      </c>
    </row>
    <row r="44" spans="1:42" x14ac:dyDescent="0.25">
      <c r="A44" s="1">
        <v>36</v>
      </c>
      <c r="B44" s="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51">
        <f t="shared" si="0"/>
        <v>0</v>
      </c>
      <c r="AP44" s="38">
        <f t="shared" si="1"/>
        <v>0</v>
      </c>
    </row>
    <row r="45" spans="1:42" x14ac:dyDescent="0.25">
      <c r="A45" s="1">
        <v>37</v>
      </c>
      <c r="B45" s="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1">
        <f t="shared" si="0"/>
        <v>0</v>
      </c>
      <c r="AP45" s="38">
        <f t="shared" si="1"/>
        <v>0</v>
      </c>
    </row>
    <row r="46" spans="1:42" x14ac:dyDescent="0.25">
      <c r="A46" s="1">
        <v>38</v>
      </c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51">
        <f t="shared" si="0"/>
        <v>0</v>
      </c>
      <c r="AP46" s="38">
        <f t="shared" si="1"/>
        <v>0</v>
      </c>
    </row>
    <row r="47" spans="1:42" x14ac:dyDescent="0.25">
      <c r="A47" s="1">
        <v>39</v>
      </c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51">
        <f t="shared" si="0"/>
        <v>0</v>
      </c>
      <c r="AP47" s="38">
        <f t="shared" si="1"/>
        <v>0</v>
      </c>
    </row>
    <row r="48" spans="1:42" x14ac:dyDescent="0.25">
      <c r="A48" s="1">
        <v>40</v>
      </c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51">
        <f t="shared" si="0"/>
        <v>0</v>
      </c>
      <c r="AP48" s="38">
        <f t="shared" si="1"/>
        <v>0</v>
      </c>
    </row>
  </sheetData>
  <sheetProtection algorithmName="SHA-512" hashValue="v2zjtKvUj04NSnX3TW/fcUMHoEMWjvgGCjMsoD+c6L4wezKcwF0yNHhOu6HJxgarhUQomHU8QZ6uWkeEA158mQ==" saltValue="stNBZTl3z7u/VUNLlsqBbw==" spinCount="100000" sheet="1" objects="1" scenarios="1"/>
  <sortState xmlns:xlrd2="http://schemas.microsoft.com/office/spreadsheetml/2017/richdata2" ref="B8:T36">
    <sortCondition ref="B8:B36"/>
  </sortState>
  <mergeCells count="30">
    <mergeCell ref="A1:AP2"/>
    <mergeCell ref="AO7:AO8"/>
    <mergeCell ref="AP7:AP8"/>
    <mergeCell ref="C4:AP4"/>
    <mergeCell ref="A3:AP3"/>
    <mergeCell ref="AK7:AL7"/>
    <mergeCell ref="AA7:AB7"/>
    <mergeCell ref="AM7:AN7"/>
    <mergeCell ref="Y7:Z7"/>
    <mergeCell ref="AC7:AD7"/>
    <mergeCell ref="AE7:AF7"/>
    <mergeCell ref="AG7:AH7"/>
    <mergeCell ref="AI7:AJ7"/>
    <mergeCell ref="S7:T7"/>
    <mergeCell ref="W7:X7"/>
    <mergeCell ref="I7:J7"/>
    <mergeCell ref="A4:B4"/>
    <mergeCell ref="C7:D7"/>
    <mergeCell ref="E7:F7"/>
    <mergeCell ref="A7:A8"/>
    <mergeCell ref="B5:B6"/>
    <mergeCell ref="A5:A6"/>
    <mergeCell ref="U7:V7"/>
    <mergeCell ref="G7:H7"/>
    <mergeCell ref="C5:AN6"/>
    <mergeCell ref="AO5:AP6"/>
    <mergeCell ref="K7:L7"/>
    <mergeCell ref="M7:N7"/>
    <mergeCell ref="O7:P7"/>
    <mergeCell ref="Q7:R7"/>
  </mergeCells>
  <dataValidations count="2">
    <dataValidation type="whole" allowBlank="1" showInputMessage="1" showErrorMessage="1" errorTitle="Data Range Error" error="Value should be between 0 and 30" sqref="AC31:AC48 AE31:AE48 AA31:AA48 C31:C48 E31:E48 G31:G48 I31:I48 AM31:AM48 K31:K48 M31:M48 O31:O48 Q31:Q48 S31:S48 U31:U48 W31:W48 Y31:Y48 AG31:AG48 AI31:AI48 AK31:AK48 AC9:AC15" xr:uid="{00000000-0002-0000-0000-000000000000}">
      <formula1>0</formula1>
      <formula2>30</formula2>
    </dataValidation>
    <dataValidation type="whole" allowBlank="1" showInputMessage="1" showErrorMessage="1" errorTitle="Data Range Error" error="Value should be between 0 and 70" sqref="F31:F48 H31:H48 J31:J48 L31:L48 N31:N48 P31:P48 R31:R48 T31:T48 V31:V48 X31:X48 Z31:Z48 AB31:AB48 AD31:AD48 AF31:AF48 AH31:AH48 AJ31:AJ48 AL31:AL48 AN31:AN48 D31:D48" xr:uid="{00000000-0002-0000-0000-000001000000}">
      <formula1>0</formula1>
      <formula2>70</formula2>
    </dataValidation>
  </dataValidations>
  <pageMargins left="0.25" right="0.25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64"/>
  <sheetViews>
    <sheetView zoomScale="105" workbookViewId="0">
      <pane xSplit="2" ySplit="7" topLeftCell="C8" activePane="bottomRight" state="frozen"/>
      <selection activeCell="B9" sqref="B9"/>
      <selection pane="topRight" activeCell="B9" sqref="B9"/>
      <selection pane="bottomLeft" activeCell="B9" sqref="B9"/>
      <selection pane="bottomRight" activeCell="E9" sqref="E9"/>
    </sheetView>
  </sheetViews>
  <sheetFormatPr defaultRowHeight="15" x14ac:dyDescent="0.25"/>
  <cols>
    <col min="1" max="1" width="5.28515625" bestFit="1" customWidth="1"/>
    <col min="2" max="2" width="36.7109375" customWidth="1"/>
    <col min="3" max="3" width="16" bestFit="1" customWidth="1"/>
    <col min="4" max="4" width="9.42578125" style="5" bestFit="1" customWidth="1"/>
    <col min="5" max="5" width="9.85546875" style="5" customWidth="1"/>
    <col min="6" max="6" width="45.140625" bestFit="1" customWidth="1"/>
    <col min="7" max="7" width="69.140625" customWidth="1"/>
    <col min="8" max="11" width="3.85546875" bestFit="1" customWidth="1"/>
  </cols>
  <sheetData>
    <row r="1" spans="1:11" ht="15" customHeight="1" x14ac:dyDescent="0.25">
      <c r="A1" s="83" t="s">
        <v>185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ht="15" customHeigh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ht="18" x14ac:dyDescent="0.25">
      <c r="A3" s="86" t="s">
        <v>184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5.75" x14ac:dyDescent="0.25">
      <c r="A4" s="79" t="s">
        <v>43</v>
      </c>
      <c r="B4" s="79"/>
      <c r="C4" s="85" t="s">
        <v>113</v>
      </c>
      <c r="D4" s="85"/>
      <c r="E4" s="85"/>
      <c r="F4" s="85"/>
      <c r="G4" s="85"/>
      <c r="H4" s="85"/>
      <c r="I4" s="85"/>
      <c r="J4" s="85"/>
      <c r="K4" s="85"/>
    </row>
    <row r="5" spans="1:11" ht="30" customHeight="1" x14ac:dyDescent="0.25">
      <c r="A5" s="82"/>
      <c r="B5" s="81" t="s">
        <v>114</v>
      </c>
      <c r="C5" s="33" t="s">
        <v>24</v>
      </c>
      <c r="D5" s="33" t="s">
        <v>59</v>
      </c>
      <c r="E5" s="87" t="s">
        <v>60</v>
      </c>
      <c r="F5" s="87"/>
      <c r="G5" s="90" t="s">
        <v>23</v>
      </c>
      <c r="H5" s="90"/>
      <c r="I5" s="90"/>
      <c r="J5" s="90"/>
      <c r="K5" s="90"/>
    </row>
    <row r="6" spans="1:11" ht="27" customHeight="1" x14ac:dyDescent="0.25">
      <c r="A6" s="82"/>
      <c r="B6" s="81"/>
      <c r="C6" s="30">
        <v>128</v>
      </c>
      <c r="D6" s="30">
        <v>22</v>
      </c>
      <c r="E6" s="88" t="s">
        <v>115</v>
      </c>
      <c r="F6" s="89"/>
      <c r="G6" s="90"/>
      <c r="H6" s="90"/>
      <c r="I6" s="90"/>
      <c r="J6" s="90"/>
      <c r="K6" s="90"/>
    </row>
    <row r="7" spans="1:11" ht="91.5" customHeight="1" x14ac:dyDescent="0.25">
      <c r="A7" s="58" t="s">
        <v>0</v>
      </c>
      <c r="B7" s="31" t="s">
        <v>12</v>
      </c>
      <c r="C7" s="32" t="s">
        <v>25</v>
      </c>
      <c r="D7" s="32" t="s">
        <v>28</v>
      </c>
      <c r="E7" s="32" t="s">
        <v>29</v>
      </c>
      <c r="F7" s="33" t="s">
        <v>26</v>
      </c>
      <c r="G7" s="32" t="s">
        <v>27</v>
      </c>
      <c r="H7" s="34" t="s">
        <v>32</v>
      </c>
      <c r="I7" s="34" t="s">
        <v>33</v>
      </c>
      <c r="J7" s="34" t="s">
        <v>34</v>
      </c>
      <c r="K7" s="34" t="s">
        <v>35</v>
      </c>
    </row>
    <row r="8" spans="1:11" x14ac:dyDescent="0.25">
      <c r="A8" s="3">
        <v>1</v>
      </c>
      <c r="B8" s="39" t="str">
        <f>(sheet1!B9)</f>
        <v>ADAKARAZA SAMUEL</v>
      </c>
      <c r="C8" s="4">
        <v>118</v>
      </c>
      <c r="D8" s="40">
        <f>(sheet1!AP9)</f>
        <v>35.058823529411768</v>
      </c>
      <c r="E8" s="66" t="str">
        <f>RANK(D8,$D$8:$D$29)&amp;IF(OR(RANK(D8,$D$8:$D$29)=11,RANK(D8,$D$8:$D$29)=12,RANK(D8,$D$8:$D$29)=13),"th",CHOOSE(MIN(5,MOD(RANK(D8,$D$8:$D$29),10)+1),"th","st","nd","rd","th"))</f>
        <v>19th</v>
      </c>
      <c r="F8" s="61" t="s">
        <v>67</v>
      </c>
      <c r="G8" s="61" t="s">
        <v>138</v>
      </c>
      <c r="H8" s="48" t="s">
        <v>52</v>
      </c>
      <c r="I8" s="48" t="s">
        <v>52</v>
      </c>
      <c r="J8" s="48" t="s">
        <v>52</v>
      </c>
      <c r="K8" s="48" t="s">
        <v>52</v>
      </c>
    </row>
    <row r="9" spans="1:11" x14ac:dyDescent="0.25">
      <c r="A9" s="3">
        <v>2</v>
      </c>
      <c r="B9" s="39" t="str">
        <f>(sheet1!B10)</f>
        <v>ADEOLA PEDRO</v>
      </c>
      <c r="C9" s="4">
        <v>128</v>
      </c>
      <c r="D9" s="40">
        <f>(sheet1!AP10)</f>
        <v>49.764705882352942</v>
      </c>
      <c r="E9" s="66" t="str">
        <f t="shared" ref="E9:E29" si="0">RANK(D9,$D$8:$D$29)&amp;IF(OR(RANK(D9,$D$8:$D$29)=11,RANK(D9,$D$8:$D$29)=12,RANK(D9,$D$8:$D$29)=13),"th",CHOOSE(MIN(5,MOD(RANK(D9,$D$8:$D$29),10)+1),"th","st","nd","rd","th"))</f>
        <v>12th</v>
      </c>
      <c r="F9" s="61" t="s">
        <v>68</v>
      </c>
      <c r="G9" s="61" t="s">
        <v>88</v>
      </c>
      <c r="H9" s="48" t="s">
        <v>56</v>
      </c>
      <c r="I9" s="48" t="s">
        <v>56</v>
      </c>
      <c r="J9" s="48" t="s">
        <v>56</v>
      </c>
      <c r="K9" s="48" t="s">
        <v>56</v>
      </c>
    </row>
    <row r="10" spans="1:11" x14ac:dyDescent="0.25">
      <c r="A10" s="3">
        <v>3</v>
      </c>
      <c r="B10" s="39" t="str">
        <f>(sheet1!B11)</f>
        <v>ASAMS DANIELLA</v>
      </c>
      <c r="C10" s="4">
        <v>126</v>
      </c>
      <c r="D10" s="40">
        <f>(sheet1!AP11)</f>
        <v>59.588235294117645</v>
      </c>
      <c r="E10" s="66" t="str">
        <f t="shared" si="0"/>
        <v>7th</v>
      </c>
      <c r="F10" s="61" t="s">
        <v>69</v>
      </c>
      <c r="G10" s="61" t="s">
        <v>89</v>
      </c>
      <c r="H10" s="48" t="s">
        <v>53</v>
      </c>
      <c r="I10" s="48" t="s">
        <v>53</v>
      </c>
      <c r="J10" s="48" t="s">
        <v>53</v>
      </c>
      <c r="K10" s="48" t="s">
        <v>53</v>
      </c>
    </row>
    <row r="11" spans="1:11" x14ac:dyDescent="0.25">
      <c r="A11" s="3">
        <v>4</v>
      </c>
      <c r="B11" s="39" t="str">
        <f>(sheet1!B12)</f>
        <v>ASIBOR NANCY</v>
      </c>
      <c r="C11" s="4">
        <v>108</v>
      </c>
      <c r="D11" s="40">
        <f>(sheet1!AP12)</f>
        <v>59.117647058823529</v>
      </c>
      <c r="E11" s="66" t="str">
        <f t="shared" si="0"/>
        <v>8th</v>
      </c>
      <c r="F11" s="61" t="s">
        <v>70</v>
      </c>
      <c r="G11" s="61" t="s">
        <v>90</v>
      </c>
      <c r="H11" s="48" t="s">
        <v>54</v>
      </c>
      <c r="I11" s="48" t="s">
        <v>54</v>
      </c>
      <c r="J11" s="48" t="s">
        <v>54</v>
      </c>
      <c r="K11" s="48" t="s">
        <v>54</v>
      </c>
    </row>
    <row r="12" spans="1:11" x14ac:dyDescent="0.25">
      <c r="A12" s="3">
        <v>5</v>
      </c>
      <c r="B12" s="39" t="str">
        <f>(sheet1!B13)</f>
        <v>BANKOLE AMEERAT</v>
      </c>
      <c r="C12" s="4">
        <v>128</v>
      </c>
      <c r="D12" s="40">
        <f>(sheet1!AP13)</f>
        <v>71.117647058823536</v>
      </c>
      <c r="E12" s="66" t="str">
        <f t="shared" si="0"/>
        <v>1st</v>
      </c>
      <c r="F12" s="61" t="s">
        <v>71</v>
      </c>
      <c r="G12" s="61" t="s">
        <v>91</v>
      </c>
      <c r="H12" s="48" t="s">
        <v>55</v>
      </c>
      <c r="I12" s="48" t="s">
        <v>55</v>
      </c>
      <c r="J12" s="48" t="s">
        <v>55</v>
      </c>
      <c r="K12" s="48" t="s">
        <v>55</v>
      </c>
    </row>
    <row r="13" spans="1:11" x14ac:dyDescent="0.25">
      <c r="A13" s="3">
        <v>6</v>
      </c>
      <c r="B13" s="39" t="str">
        <f>(sheet1!B14)</f>
        <v>CHIEKEZIE MAXWELL</v>
      </c>
      <c r="C13" s="4">
        <v>116</v>
      </c>
      <c r="D13" s="40">
        <f>(sheet1!AP14)</f>
        <v>34.823529411764703</v>
      </c>
      <c r="E13" s="66" t="str">
        <f t="shared" si="0"/>
        <v>20th</v>
      </c>
      <c r="F13" s="61" t="s">
        <v>72</v>
      </c>
      <c r="G13" s="61" t="s">
        <v>92</v>
      </c>
      <c r="H13" s="49"/>
      <c r="I13" s="49"/>
      <c r="J13" s="49"/>
      <c r="K13" s="49"/>
    </row>
    <row r="14" spans="1:11" x14ac:dyDescent="0.25">
      <c r="A14" s="3">
        <v>7</v>
      </c>
      <c r="B14" s="39" t="str">
        <f>(sheet1!B15)</f>
        <v>EDET MOSES</v>
      </c>
      <c r="C14" s="4">
        <v>112</v>
      </c>
      <c r="D14" s="40">
        <f>(sheet1!AP15)</f>
        <v>55.058823529411768</v>
      </c>
      <c r="E14" s="66" t="str">
        <f t="shared" si="0"/>
        <v>9th</v>
      </c>
      <c r="F14" s="61" t="s">
        <v>73</v>
      </c>
      <c r="G14" s="61" t="s">
        <v>111</v>
      </c>
      <c r="H14" s="49"/>
      <c r="I14" s="49"/>
      <c r="J14" s="49"/>
      <c r="K14" s="49"/>
    </row>
    <row r="15" spans="1:11" x14ac:dyDescent="0.25">
      <c r="A15" s="3">
        <v>8</v>
      </c>
      <c r="B15" s="39" t="str">
        <f>(sheet1!B16)</f>
        <v>ENEJOH PHINEHAS</v>
      </c>
      <c r="C15" s="4">
        <v>120</v>
      </c>
      <c r="D15" s="40">
        <f>(sheet1!AP16)</f>
        <v>39.352941176470587</v>
      </c>
      <c r="E15" s="66" t="str">
        <f t="shared" si="0"/>
        <v>16th</v>
      </c>
      <c r="F15" s="61" t="s">
        <v>74</v>
      </c>
      <c r="G15" s="61" t="s">
        <v>93</v>
      </c>
      <c r="H15" s="49"/>
      <c r="I15" s="49"/>
      <c r="J15" s="49"/>
      <c r="K15" s="49"/>
    </row>
    <row r="16" spans="1:11" x14ac:dyDescent="0.25">
      <c r="A16" s="3">
        <v>9</v>
      </c>
      <c r="B16" s="39" t="str">
        <f>(sheet1!B17)</f>
        <v>EWELUKWA FAVOUR</v>
      </c>
      <c r="C16" s="4">
        <v>118</v>
      </c>
      <c r="D16" s="40">
        <f>(sheet1!AP17)</f>
        <v>63.117647058823529</v>
      </c>
      <c r="E16" s="66" t="str">
        <f t="shared" si="0"/>
        <v>5th</v>
      </c>
      <c r="F16" s="61" t="s">
        <v>75</v>
      </c>
      <c r="G16" s="61" t="s">
        <v>94</v>
      </c>
      <c r="H16" s="49"/>
      <c r="I16" s="49"/>
      <c r="J16" s="49"/>
      <c r="K16" s="49"/>
    </row>
    <row r="17" spans="1:11" x14ac:dyDescent="0.25">
      <c r="A17" s="3">
        <v>10</v>
      </c>
      <c r="B17" s="39" t="str">
        <f>(sheet1!B18)</f>
        <v>HAMMED OLAMIDE</v>
      </c>
      <c r="C17" s="4">
        <v>104</v>
      </c>
      <c r="D17" s="40">
        <f>(sheet1!AP18)</f>
        <v>24.235294117647058</v>
      </c>
      <c r="E17" s="66" t="str">
        <f t="shared" si="0"/>
        <v>22nd</v>
      </c>
      <c r="F17" s="61" t="s">
        <v>76</v>
      </c>
      <c r="G17" s="61" t="s">
        <v>95</v>
      </c>
      <c r="H17" s="49"/>
      <c r="I17" s="49"/>
      <c r="J17" s="49"/>
      <c r="K17" s="49"/>
    </row>
    <row r="18" spans="1:11" x14ac:dyDescent="0.25">
      <c r="A18" s="3">
        <v>11</v>
      </c>
      <c r="B18" s="39" t="str">
        <f>(sheet1!B19)</f>
        <v>HAMZAT AKOREDE</v>
      </c>
      <c r="C18" s="4">
        <v>116</v>
      </c>
      <c r="D18" s="40">
        <f>(sheet1!AP19)</f>
        <v>33.529411764705884</v>
      </c>
      <c r="E18" s="66" t="str">
        <f t="shared" si="0"/>
        <v>21st</v>
      </c>
      <c r="F18" s="61" t="s">
        <v>77</v>
      </c>
      <c r="G18" s="61" t="s">
        <v>96</v>
      </c>
      <c r="H18" s="49"/>
      <c r="I18" s="49"/>
      <c r="J18" s="49"/>
      <c r="K18" s="49"/>
    </row>
    <row r="19" spans="1:11" x14ac:dyDescent="0.25">
      <c r="A19" s="3">
        <v>12</v>
      </c>
      <c r="B19" s="39" t="str">
        <f>(sheet1!B20)</f>
        <v>JAMES DIVINE</v>
      </c>
      <c r="C19" s="4">
        <v>122</v>
      </c>
      <c r="D19" s="40">
        <f>(sheet1!AP20)</f>
        <v>37.882352941176471</v>
      </c>
      <c r="E19" s="66" t="str">
        <f t="shared" si="0"/>
        <v>17th</v>
      </c>
      <c r="F19" s="61" t="s">
        <v>78</v>
      </c>
      <c r="G19" s="61" t="s">
        <v>97</v>
      </c>
      <c r="H19" s="49"/>
      <c r="I19" s="49"/>
      <c r="J19" s="49"/>
      <c r="K19" s="49"/>
    </row>
    <row r="20" spans="1:11" x14ac:dyDescent="0.25">
      <c r="A20" s="3">
        <v>13</v>
      </c>
      <c r="B20" s="39" t="str">
        <f>(sheet1!B21)</f>
        <v>JOEL JOSHUA</v>
      </c>
      <c r="C20" s="4">
        <v>110</v>
      </c>
      <c r="D20" s="40">
        <f>(sheet1!AP21)</f>
        <v>51.352941176470587</v>
      </c>
      <c r="E20" s="66" t="str">
        <f t="shared" si="0"/>
        <v>10th</v>
      </c>
      <c r="F20" s="61" t="s">
        <v>79</v>
      </c>
      <c r="G20" s="61" t="s">
        <v>98</v>
      </c>
      <c r="H20" s="49"/>
      <c r="I20" s="49"/>
      <c r="J20" s="49"/>
      <c r="K20" s="49"/>
    </row>
    <row r="21" spans="1:11" x14ac:dyDescent="0.25">
      <c r="A21" s="3">
        <v>14</v>
      </c>
      <c r="B21" s="39" t="str">
        <f>(sheet1!B22)</f>
        <v>JOSIAH SUNDAY</v>
      </c>
      <c r="C21" s="4">
        <v>116</v>
      </c>
      <c r="D21" s="40">
        <f>(sheet1!AP22)</f>
        <v>50.176470588235297</v>
      </c>
      <c r="E21" s="66" t="str">
        <f t="shared" si="0"/>
        <v>11th</v>
      </c>
      <c r="F21" s="61" t="s">
        <v>80</v>
      </c>
      <c r="G21" s="61" t="s">
        <v>99</v>
      </c>
      <c r="H21" s="49"/>
      <c r="I21" s="49"/>
      <c r="J21" s="49"/>
      <c r="K21" s="49"/>
    </row>
    <row r="22" spans="1:11" x14ac:dyDescent="0.25">
      <c r="A22" s="3">
        <v>15</v>
      </c>
      <c r="B22" s="39" t="str">
        <f>(sheet1!B23)</f>
        <v>KUFRE GOODNEWS</v>
      </c>
      <c r="C22" s="4">
        <v>118</v>
      </c>
      <c r="D22" s="40">
        <f>(sheet1!AP23)</f>
        <v>37.176470588235297</v>
      </c>
      <c r="E22" s="66" t="str">
        <f t="shared" si="0"/>
        <v>18th</v>
      </c>
      <c r="F22" s="61" t="s">
        <v>81</v>
      </c>
      <c r="G22" s="61" t="s">
        <v>100</v>
      </c>
      <c r="H22" s="49"/>
      <c r="I22" s="49"/>
      <c r="J22" s="49"/>
      <c r="K22" s="49"/>
    </row>
    <row r="23" spans="1:11" x14ac:dyDescent="0.25">
      <c r="A23" s="3">
        <v>16</v>
      </c>
      <c r="B23" s="39" t="str">
        <f>(sheet1!B24)</f>
        <v>NWABUEZE FAVOUR</v>
      </c>
      <c r="C23" s="4">
        <v>126</v>
      </c>
      <c r="D23" s="40">
        <f>(sheet1!AP24)</f>
        <v>65.941176470588232</v>
      </c>
      <c r="E23" s="66" t="str">
        <f t="shared" si="0"/>
        <v>4th</v>
      </c>
      <c r="F23" s="61" t="s">
        <v>82</v>
      </c>
      <c r="G23" s="61" t="s">
        <v>102</v>
      </c>
      <c r="H23" s="49"/>
      <c r="I23" s="49"/>
      <c r="J23" s="49"/>
      <c r="K23" s="49"/>
    </row>
    <row r="24" spans="1:11" x14ac:dyDescent="0.25">
      <c r="A24" s="3">
        <v>17</v>
      </c>
      <c r="B24" s="39" t="str">
        <f>(sheet1!B25)</f>
        <v>NWABUEZE VICTOR</v>
      </c>
      <c r="C24" s="4">
        <v>116</v>
      </c>
      <c r="D24" s="40">
        <f>(sheet1!AP25)</f>
        <v>47.176470588235297</v>
      </c>
      <c r="E24" s="66" t="str">
        <f t="shared" si="0"/>
        <v>15th</v>
      </c>
      <c r="F24" s="61" t="s">
        <v>83</v>
      </c>
      <c r="G24" s="61" t="s">
        <v>103</v>
      </c>
      <c r="H24" s="49"/>
      <c r="I24" s="49"/>
      <c r="J24" s="49"/>
      <c r="K24" s="49"/>
    </row>
    <row r="25" spans="1:11" x14ac:dyDescent="0.25">
      <c r="A25" s="3">
        <v>18</v>
      </c>
      <c r="B25" s="39" t="str">
        <f>(sheet1!B26)</f>
        <v>ONYINYECHI ANITA</v>
      </c>
      <c r="C25" s="4">
        <v>128</v>
      </c>
      <c r="D25" s="40">
        <f>(sheet1!AP26)</f>
        <v>67</v>
      </c>
      <c r="E25" s="66" t="str">
        <f t="shared" si="0"/>
        <v>3rd</v>
      </c>
      <c r="F25" s="61" t="s">
        <v>84</v>
      </c>
      <c r="G25" s="61" t="s">
        <v>104</v>
      </c>
      <c r="H25" s="49"/>
      <c r="I25" s="49"/>
      <c r="J25" s="49"/>
      <c r="K25" s="49"/>
    </row>
    <row r="26" spans="1:11" x14ac:dyDescent="0.25">
      <c r="A26" s="3">
        <v>19</v>
      </c>
      <c r="B26" s="39" t="str">
        <f>(sheet1!B27)</f>
        <v>ORIAKU BRIGHT</v>
      </c>
      <c r="C26" s="4">
        <v>126</v>
      </c>
      <c r="D26" s="40">
        <f>(sheet1!AP27)</f>
        <v>49.117647058823529</v>
      </c>
      <c r="E26" s="66" t="str">
        <f t="shared" si="0"/>
        <v>14th</v>
      </c>
      <c r="F26" s="61" t="s">
        <v>85</v>
      </c>
      <c r="G26" s="61" t="s">
        <v>105</v>
      </c>
      <c r="H26" s="49"/>
      <c r="I26" s="49"/>
      <c r="J26" s="49"/>
      <c r="K26" s="49"/>
    </row>
    <row r="27" spans="1:11" x14ac:dyDescent="0.25">
      <c r="A27" s="3">
        <v>20</v>
      </c>
      <c r="B27" s="39" t="str">
        <f>(sheet1!B28)</f>
        <v>SAKA FAREED</v>
      </c>
      <c r="C27" s="4">
        <v>126</v>
      </c>
      <c r="D27" s="40">
        <f>(sheet1!AP28)</f>
        <v>69.058823529411768</v>
      </c>
      <c r="E27" s="66" t="str">
        <f t="shared" si="0"/>
        <v>2nd</v>
      </c>
      <c r="F27" s="61" t="s">
        <v>86</v>
      </c>
      <c r="G27" s="61" t="s">
        <v>106</v>
      </c>
      <c r="H27" s="49"/>
      <c r="I27" s="49"/>
      <c r="J27" s="49"/>
      <c r="K27" s="49"/>
    </row>
    <row r="28" spans="1:11" x14ac:dyDescent="0.25">
      <c r="A28" s="3">
        <v>21</v>
      </c>
      <c r="B28" s="39" t="str">
        <f>(sheet1!B29)</f>
        <v>VICTOR LOVETH</v>
      </c>
      <c r="C28" s="4">
        <v>126</v>
      </c>
      <c r="D28" s="40">
        <f>(sheet1!AP29)</f>
        <v>60.470588235294116</v>
      </c>
      <c r="E28" s="66" t="str">
        <f t="shared" si="0"/>
        <v>6th</v>
      </c>
      <c r="F28" s="61" t="s">
        <v>87</v>
      </c>
      <c r="G28" s="61" t="s">
        <v>107</v>
      </c>
      <c r="H28" s="49"/>
      <c r="I28" s="49"/>
      <c r="J28" s="49"/>
      <c r="K28" s="49"/>
    </row>
    <row r="29" spans="1:11" x14ac:dyDescent="0.25">
      <c r="A29" s="3">
        <v>22</v>
      </c>
      <c r="B29" s="39" t="str">
        <f>(sheet1!B30)</f>
        <v>WASIU NIMOTALLAH</v>
      </c>
      <c r="C29" s="4">
        <v>128</v>
      </c>
      <c r="D29" s="40">
        <f>(sheet1!AP30)</f>
        <v>49.411764705882355</v>
      </c>
      <c r="E29" s="66" t="str">
        <f t="shared" si="0"/>
        <v>13th</v>
      </c>
      <c r="F29" s="49" t="s">
        <v>162</v>
      </c>
      <c r="G29" s="61" t="s">
        <v>108</v>
      </c>
      <c r="H29" s="49"/>
      <c r="I29" s="49"/>
      <c r="J29" s="49"/>
      <c r="K29" s="49"/>
    </row>
    <row r="30" spans="1:11" x14ac:dyDescent="0.25">
      <c r="A30" s="3">
        <v>23</v>
      </c>
      <c r="B30" s="39">
        <f>(sheet1!B31)</f>
        <v>0</v>
      </c>
      <c r="C30" s="4"/>
      <c r="D30" s="40">
        <f>(sheet1!AP31)</f>
        <v>0</v>
      </c>
      <c r="E30" s="66"/>
      <c r="F30" s="49" t="s">
        <v>163</v>
      </c>
      <c r="G30" s="61" t="s">
        <v>109</v>
      </c>
      <c r="H30" s="49"/>
      <c r="I30" s="49"/>
      <c r="J30" s="49"/>
      <c r="K30" s="49"/>
    </row>
    <row r="31" spans="1:11" x14ac:dyDescent="0.25">
      <c r="A31" s="3">
        <v>24</v>
      </c>
      <c r="B31" s="39">
        <f>(sheet1!B32)</f>
        <v>0</v>
      </c>
      <c r="C31" s="4"/>
      <c r="D31" s="40">
        <f>(sheet1!AP32)</f>
        <v>0</v>
      </c>
      <c r="E31" s="66"/>
      <c r="F31" s="49" t="s">
        <v>164</v>
      </c>
      <c r="G31" s="61" t="s">
        <v>139</v>
      </c>
      <c r="H31" s="49"/>
      <c r="I31" s="49"/>
      <c r="J31" s="49"/>
      <c r="K31" s="49"/>
    </row>
    <row r="32" spans="1:11" x14ac:dyDescent="0.25">
      <c r="A32" s="3">
        <v>25</v>
      </c>
      <c r="B32" s="39">
        <f>(sheet1!B33)</f>
        <v>0</v>
      </c>
      <c r="C32" s="4"/>
      <c r="D32" s="40">
        <f>(sheet1!AP33)</f>
        <v>0</v>
      </c>
      <c r="E32" s="66"/>
      <c r="F32" s="49" t="s">
        <v>165</v>
      </c>
      <c r="G32" s="61" t="s">
        <v>140</v>
      </c>
      <c r="H32" s="49"/>
      <c r="I32" s="49"/>
      <c r="J32" s="49"/>
      <c r="K32" s="49"/>
    </row>
    <row r="33" spans="1:11" x14ac:dyDescent="0.25">
      <c r="A33" s="3">
        <v>26</v>
      </c>
      <c r="B33" s="39">
        <f>(sheet1!B34)</f>
        <v>0</v>
      </c>
      <c r="C33" s="4"/>
      <c r="D33" s="40">
        <f>(sheet1!AP34)</f>
        <v>0</v>
      </c>
      <c r="E33" s="66"/>
      <c r="F33" s="49" t="s">
        <v>166</v>
      </c>
      <c r="G33" s="61" t="s">
        <v>141</v>
      </c>
      <c r="H33" s="49"/>
      <c r="I33" s="49"/>
      <c r="J33" s="49"/>
      <c r="K33" s="49"/>
    </row>
    <row r="34" spans="1:11" x14ac:dyDescent="0.25">
      <c r="A34" s="3">
        <v>27</v>
      </c>
      <c r="B34" s="39">
        <f>(sheet1!B35)</f>
        <v>0</v>
      </c>
      <c r="C34" s="4"/>
      <c r="D34" s="40">
        <f>(sheet1!AP35)</f>
        <v>0</v>
      </c>
      <c r="E34" s="66"/>
      <c r="F34" s="49" t="s">
        <v>167</v>
      </c>
      <c r="G34" s="61" t="s">
        <v>142</v>
      </c>
      <c r="H34" s="49"/>
      <c r="I34" s="49"/>
      <c r="J34" s="49"/>
      <c r="K34" s="49"/>
    </row>
    <row r="35" spans="1:11" x14ac:dyDescent="0.25">
      <c r="A35" s="3">
        <v>28</v>
      </c>
      <c r="B35" s="39">
        <f>(sheet1!B36)</f>
        <v>0</v>
      </c>
      <c r="C35" s="4"/>
      <c r="D35" s="40">
        <f>(sheet1!AP36)</f>
        <v>0</v>
      </c>
      <c r="E35" s="66"/>
      <c r="F35" s="49" t="s">
        <v>168</v>
      </c>
      <c r="G35" s="61" t="s">
        <v>143</v>
      </c>
      <c r="H35" s="49"/>
      <c r="I35" s="49"/>
      <c r="J35" s="49"/>
      <c r="K35" s="49"/>
    </row>
    <row r="36" spans="1:11" x14ac:dyDescent="0.25">
      <c r="A36" s="3">
        <v>29</v>
      </c>
      <c r="B36" s="39">
        <f>(sheet1!B37)</f>
        <v>0</v>
      </c>
      <c r="C36" s="4"/>
      <c r="D36" s="40">
        <f>(sheet1!AP37)</f>
        <v>0</v>
      </c>
      <c r="E36" s="66"/>
      <c r="F36" s="49" t="s">
        <v>169</v>
      </c>
      <c r="G36" s="61" t="s">
        <v>144</v>
      </c>
      <c r="H36" s="49"/>
      <c r="I36" s="49"/>
      <c r="J36" s="49"/>
      <c r="K36" s="49"/>
    </row>
    <row r="37" spans="1:11" x14ac:dyDescent="0.25">
      <c r="A37" s="1">
        <v>30</v>
      </c>
      <c r="B37" s="39">
        <f>(sheet1!B38)</f>
        <v>0</v>
      </c>
      <c r="C37" s="4"/>
      <c r="D37" s="40">
        <f>(sheet1!AP38)</f>
        <v>0</v>
      </c>
      <c r="E37" s="66"/>
      <c r="F37" s="49" t="s">
        <v>170</v>
      </c>
      <c r="G37" s="61" t="s">
        <v>145</v>
      </c>
      <c r="H37" s="49"/>
      <c r="I37" s="49"/>
      <c r="J37" s="49"/>
      <c r="K37" s="49"/>
    </row>
    <row r="38" spans="1:11" x14ac:dyDescent="0.25">
      <c r="A38" s="1">
        <v>31</v>
      </c>
      <c r="B38" s="39">
        <f>(sheet1!B39)</f>
        <v>0</v>
      </c>
      <c r="C38" s="4"/>
      <c r="D38" s="40">
        <f>(sheet1!AP39)</f>
        <v>0</v>
      </c>
      <c r="E38" s="66"/>
      <c r="F38" s="49" t="s">
        <v>171</v>
      </c>
      <c r="G38" s="61" t="s">
        <v>146</v>
      </c>
      <c r="H38" s="35"/>
      <c r="I38" s="35"/>
      <c r="J38" s="35"/>
      <c r="K38" s="35"/>
    </row>
    <row r="39" spans="1:11" x14ac:dyDescent="0.25">
      <c r="A39" s="1">
        <v>32</v>
      </c>
      <c r="B39" s="39">
        <f>(sheet1!B40)</f>
        <v>0</v>
      </c>
      <c r="C39" s="4"/>
      <c r="D39" s="40">
        <f>(sheet1!AP40)</f>
        <v>0</v>
      </c>
      <c r="E39" s="66"/>
      <c r="F39" s="49" t="s">
        <v>172</v>
      </c>
      <c r="G39" s="61" t="s">
        <v>147</v>
      </c>
      <c r="H39" s="35"/>
      <c r="I39" s="35"/>
      <c r="J39" s="35"/>
      <c r="K39" s="35"/>
    </row>
    <row r="40" spans="1:11" x14ac:dyDescent="0.25">
      <c r="A40" s="1">
        <v>33</v>
      </c>
      <c r="B40" s="39">
        <f>(sheet1!B41)</f>
        <v>0</v>
      </c>
      <c r="C40" s="4"/>
      <c r="D40" s="40">
        <f>(sheet1!AP41)</f>
        <v>0</v>
      </c>
      <c r="E40" s="66"/>
      <c r="F40" s="49" t="s">
        <v>173</v>
      </c>
      <c r="G40" s="61" t="s">
        <v>148</v>
      </c>
      <c r="H40" s="35"/>
      <c r="I40" s="35"/>
      <c r="J40" s="35"/>
      <c r="K40" s="35"/>
    </row>
    <row r="41" spans="1:11" x14ac:dyDescent="0.25">
      <c r="A41" s="1">
        <v>34</v>
      </c>
      <c r="B41" s="39">
        <f>(sheet1!B42)</f>
        <v>0</v>
      </c>
      <c r="C41" s="4"/>
      <c r="D41" s="40">
        <f>(sheet1!AP42)</f>
        <v>0</v>
      </c>
      <c r="E41" s="66"/>
      <c r="F41" s="49" t="s">
        <v>174</v>
      </c>
      <c r="G41" s="61" t="s">
        <v>149</v>
      </c>
      <c r="H41" s="35"/>
      <c r="I41" s="35"/>
      <c r="J41" s="35"/>
      <c r="K41" s="35"/>
    </row>
    <row r="42" spans="1:11" x14ac:dyDescent="0.25">
      <c r="A42" s="1">
        <v>35</v>
      </c>
      <c r="B42" s="39">
        <f>(sheet1!B43)</f>
        <v>0</v>
      </c>
      <c r="C42" s="4"/>
      <c r="D42" s="40">
        <f>(sheet1!AP43)</f>
        <v>0</v>
      </c>
      <c r="E42" s="66"/>
      <c r="F42" s="49" t="s">
        <v>175</v>
      </c>
      <c r="G42" s="61" t="s">
        <v>150</v>
      </c>
      <c r="H42" s="35"/>
      <c r="I42" s="35"/>
      <c r="J42" s="35"/>
      <c r="K42" s="35"/>
    </row>
    <row r="43" spans="1:11" x14ac:dyDescent="0.25">
      <c r="A43" s="1">
        <v>36</v>
      </c>
      <c r="B43" s="39">
        <f>(sheet1!B44)</f>
        <v>0</v>
      </c>
      <c r="C43" s="4"/>
      <c r="D43" s="40">
        <f>(sheet1!AP44)</f>
        <v>0</v>
      </c>
      <c r="E43" s="66"/>
      <c r="F43" s="49" t="s">
        <v>176</v>
      </c>
      <c r="G43" s="61" t="s">
        <v>151</v>
      </c>
      <c r="H43" s="35"/>
      <c r="I43" s="35"/>
      <c r="J43" s="35"/>
      <c r="K43" s="35"/>
    </row>
    <row r="44" spans="1:11" x14ac:dyDescent="0.25">
      <c r="A44" s="1">
        <v>37</v>
      </c>
      <c r="B44" s="39">
        <f>(sheet1!B45)</f>
        <v>0</v>
      </c>
      <c r="C44" s="4"/>
      <c r="D44" s="40">
        <f>(sheet1!AP45)</f>
        <v>0</v>
      </c>
      <c r="E44" s="66"/>
      <c r="F44" s="49" t="s">
        <v>162</v>
      </c>
      <c r="G44" s="61" t="s">
        <v>152</v>
      </c>
      <c r="H44" s="35"/>
      <c r="I44" s="35"/>
      <c r="J44" s="35"/>
      <c r="K44" s="35"/>
    </row>
    <row r="45" spans="1:11" x14ac:dyDescent="0.25">
      <c r="A45" s="1">
        <v>38</v>
      </c>
      <c r="B45" s="39">
        <f>(sheet1!B46)</f>
        <v>0</v>
      </c>
      <c r="C45" s="4"/>
      <c r="D45" s="40">
        <f>(sheet1!AP46)</f>
        <v>0</v>
      </c>
      <c r="E45" s="66"/>
      <c r="F45" s="49" t="s">
        <v>163</v>
      </c>
      <c r="G45" s="61" t="s">
        <v>153</v>
      </c>
      <c r="H45" s="35"/>
      <c r="I45" s="35"/>
      <c r="J45" s="35"/>
      <c r="K45" s="35"/>
    </row>
    <row r="46" spans="1:11" x14ac:dyDescent="0.25">
      <c r="A46" s="1">
        <v>39</v>
      </c>
      <c r="B46" s="39">
        <f>(sheet1!B47)</f>
        <v>0</v>
      </c>
      <c r="C46" s="4"/>
      <c r="D46" s="40">
        <f>(sheet1!AP47)</f>
        <v>0</v>
      </c>
      <c r="E46" s="66"/>
      <c r="F46" s="49" t="s">
        <v>164</v>
      </c>
      <c r="G46" s="61" t="s">
        <v>154</v>
      </c>
      <c r="H46" s="35"/>
      <c r="I46" s="35"/>
      <c r="J46" s="35"/>
      <c r="K46" s="35"/>
    </row>
    <row r="47" spans="1:11" x14ac:dyDescent="0.25">
      <c r="A47" s="1">
        <v>40</v>
      </c>
      <c r="B47" s="39">
        <f>(sheet1!B48)</f>
        <v>0</v>
      </c>
      <c r="C47" s="4"/>
      <c r="D47" s="40">
        <f>(sheet1!AP48)</f>
        <v>0</v>
      </c>
      <c r="E47" s="66"/>
      <c r="F47" s="49" t="s">
        <v>165</v>
      </c>
      <c r="G47" s="61" t="s">
        <v>155</v>
      </c>
      <c r="H47" s="35"/>
      <c r="I47" s="35"/>
      <c r="J47" s="35"/>
      <c r="K47" s="35"/>
    </row>
    <row r="48" spans="1:11" x14ac:dyDescent="0.25">
      <c r="A48" s="35"/>
      <c r="B48" s="35"/>
      <c r="C48" s="35"/>
      <c r="D48" s="1"/>
      <c r="E48" s="1"/>
      <c r="F48" s="49" t="s">
        <v>166</v>
      </c>
      <c r="G48" s="61" t="s">
        <v>156</v>
      </c>
      <c r="H48" s="35"/>
      <c r="I48" s="35"/>
      <c r="J48" s="35"/>
      <c r="K48" s="35"/>
    </row>
    <row r="49" spans="1:11" x14ac:dyDescent="0.25">
      <c r="A49" s="35"/>
      <c r="B49" s="35"/>
      <c r="C49" s="35"/>
      <c r="D49" s="1"/>
      <c r="E49" s="1"/>
      <c r="F49" s="49" t="s">
        <v>167</v>
      </c>
      <c r="G49" s="61" t="s">
        <v>157</v>
      </c>
      <c r="H49" s="35"/>
      <c r="I49" s="35"/>
      <c r="J49" s="35"/>
      <c r="K49" s="35"/>
    </row>
    <row r="50" spans="1:11" x14ac:dyDescent="0.25">
      <c r="A50" s="35"/>
      <c r="B50" s="35"/>
      <c r="C50" s="35"/>
      <c r="D50" s="1"/>
      <c r="E50" s="1"/>
      <c r="F50" s="49" t="s">
        <v>168</v>
      </c>
      <c r="G50" s="61" t="s">
        <v>158</v>
      </c>
      <c r="H50" s="35"/>
      <c r="I50" s="35"/>
      <c r="J50" s="35"/>
      <c r="K50" s="35"/>
    </row>
    <row r="51" spans="1:11" x14ac:dyDescent="0.25">
      <c r="A51" s="35"/>
      <c r="B51" s="35"/>
      <c r="C51" s="35"/>
      <c r="D51" s="1"/>
      <c r="E51" s="1"/>
      <c r="F51" s="49" t="s">
        <v>169</v>
      </c>
      <c r="G51" s="61" t="s">
        <v>159</v>
      </c>
      <c r="H51" s="35"/>
      <c r="I51" s="35"/>
      <c r="J51" s="35"/>
      <c r="K51" s="35"/>
    </row>
    <row r="52" spans="1:11" x14ac:dyDescent="0.25">
      <c r="A52" s="59"/>
      <c r="B52" s="59"/>
      <c r="C52" s="59"/>
      <c r="D52" s="60"/>
      <c r="E52" s="60"/>
      <c r="F52" s="49" t="s">
        <v>170</v>
      </c>
      <c r="G52" s="61" t="s">
        <v>160</v>
      </c>
      <c r="H52" s="35"/>
      <c r="I52" s="35"/>
      <c r="J52" s="35"/>
      <c r="K52" s="35"/>
    </row>
    <row r="53" spans="1:11" x14ac:dyDescent="0.25">
      <c r="A53" s="35"/>
      <c r="B53" s="35"/>
      <c r="C53" s="35"/>
      <c r="D53" s="1"/>
      <c r="E53" s="1"/>
      <c r="F53" s="49" t="s">
        <v>171</v>
      </c>
      <c r="G53" s="61" t="s">
        <v>161</v>
      </c>
      <c r="H53" s="35"/>
      <c r="I53" s="35"/>
      <c r="J53" s="35"/>
      <c r="K53" s="35"/>
    </row>
    <row r="54" spans="1:11" x14ac:dyDescent="0.25">
      <c r="A54" s="35"/>
      <c r="B54" s="35"/>
      <c r="C54" s="35"/>
      <c r="D54" s="1"/>
      <c r="E54" s="1"/>
      <c r="F54" s="49" t="s">
        <v>172</v>
      </c>
      <c r="G54" s="49"/>
      <c r="H54" s="35"/>
      <c r="I54" s="35"/>
      <c r="J54" s="35"/>
      <c r="K54" s="35"/>
    </row>
    <row r="55" spans="1:11" x14ac:dyDescent="0.25">
      <c r="A55" s="35"/>
      <c r="B55" s="35"/>
      <c r="C55" s="35"/>
      <c r="D55" s="1"/>
      <c r="E55" s="1"/>
      <c r="F55" s="49" t="s">
        <v>173</v>
      </c>
      <c r="G55" s="49"/>
      <c r="H55" s="35"/>
      <c r="I55" s="35"/>
      <c r="J55" s="35"/>
      <c r="K55" s="35"/>
    </row>
    <row r="56" spans="1:11" x14ac:dyDescent="0.25">
      <c r="A56" s="35"/>
      <c r="B56" s="35"/>
      <c r="C56" s="35"/>
      <c r="D56" s="1"/>
      <c r="E56" s="1"/>
      <c r="F56" s="49" t="s">
        <v>174</v>
      </c>
      <c r="G56" s="49"/>
      <c r="H56" s="35"/>
      <c r="I56" s="35"/>
      <c r="J56" s="35"/>
      <c r="K56" s="35"/>
    </row>
    <row r="57" spans="1:11" x14ac:dyDescent="0.25">
      <c r="A57" s="35"/>
      <c r="B57" s="35"/>
      <c r="C57" s="35"/>
      <c r="D57" s="1"/>
      <c r="E57" s="1"/>
      <c r="F57" s="49" t="s">
        <v>175</v>
      </c>
      <c r="G57" s="49"/>
      <c r="H57" s="35"/>
      <c r="I57" s="35"/>
      <c r="J57" s="35"/>
      <c r="K57" s="35"/>
    </row>
    <row r="58" spans="1:11" x14ac:dyDescent="0.25">
      <c r="A58" s="35"/>
      <c r="B58" s="35"/>
      <c r="C58" s="35"/>
      <c r="D58" s="1"/>
      <c r="E58" s="1"/>
      <c r="F58" s="49" t="s">
        <v>176</v>
      </c>
      <c r="G58" s="49"/>
      <c r="H58" s="35"/>
      <c r="I58" s="35"/>
      <c r="J58" s="35"/>
      <c r="K58" s="35"/>
    </row>
    <row r="59" spans="1:11" x14ac:dyDescent="0.25">
      <c r="A59" s="35"/>
      <c r="B59" s="35"/>
      <c r="C59" s="35"/>
      <c r="D59" s="1"/>
      <c r="E59" s="1"/>
      <c r="F59" s="49" t="s">
        <v>177</v>
      </c>
      <c r="G59" s="49"/>
      <c r="H59" s="35"/>
      <c r="I59" s="35"/>
      <c r="J59" s="35"/>
      <c r="K59" s="35"/>
    </row>
    <row r="60" spans="1:11" x14ac:dyDescent="0.25">
      <c r="A60" s="35"/>
      <c r="B60" s="35"/>
      <c r="C60" s="35"/>
      <c r="D60" s="1"/>
      <c r="E60" s="1"/>
      <c r="F60" s="49" t="s">
        <v>178</v>
      </c>
      <c r="G60" s="49"/>
      <c r="H60" s="35"/>
      <c r="I60" s="35"/>
      <c r="J60" s="35"/>
      <c r="K60" s="35"/>
    </row>
    <row r="61" spans="1:11" x14ac:dyDescent="0.25">
      <c r="A61" s="35"/>
      <c r="B61" s="35"/>
      <c r="C61" s="35"/>
      <c r="D61" s="1"/>
      <c r="E61" s="1"/>
      <c r="F61" s="49" t="s">
        <v>179</v>
      </c>
      <c r="G61" s="49"/>
      <c r="H61" s="35"/>
      <c r="I61" s="35"/>
      <c r="J61" s="35"/>
      <c r="K61" s="35"/>
    </row>
    <row r="62" spans="1:11" x14ac:dyDescent="0.25">
      <c r="A62" s="35"/>
      <c r="B62" s="35"/>
      <c r="C62" s="35"/>
      <c r="D62" s="1"/>
      <c r="E62" s="1"/>
      <c r="F62" s="49" t="s">
        <v>180</v>
      </c>
      <c r="G62" s="49"/>
      <c r="H62" s="35"/>
      <c r="I62" s="35"/>
      <c r="J62" s="35"/>
      <c r="K62" s="35"/>
    </row>
    <row r="63" spans="1:11" x14ac:dyDescent="0.25">
      <c r="A63" s="35"/>
      <c r="B63" s="35"/>
      <c r="C63" s="35"/>
      <c r="D63" s="1"/>
      <c r="E63" s="1"/>
      <c r="F63" s="49" t="s">
        <v>181</v>
      </c>
      <c r="G63" s="49"/>
      <c r="H63" s="35"/>
      <c r="I63" s="35"/>
      <c r="J63" s="35"/>
      <c r="K63" s="35"/>
    </row>
    <row r="64" spans="1:11" x14ac:dyDescent="0.25">
      <c r="A64" s="35"/>
      <c r="B64" s="35"/>
      <c r="C64" s="35"/>
      <c r="D64" s="1"/>
      <c r="E64" s="1"/>
      <c r="F64" s="49" t="s">
        <v>182</v>
      </c>
      <c r="G64" s="49"/>
      <c r="H64" s="35"/>
      <c r="I64" s="35"/>
      <c r="J64" s="35"/>
      <c r="K64" s="35"/>
    </row>
  </sheetData>
  <mergeCells count="9">
    <mergeCell ref="A1:K2"/>
    <mergeCell ref="C4:K4"/>
    <mergeCell ref="A3:K3"/>
    <mergeCell ref="A4:B4"/>
    <mergeCell ref="A5:A6"/>
    <mergeCell ref="B5:B6"/>
    <mergeCell ref="E5:F5"/>
    <mergeCell ref="E6:F6"/>
    <mergeCell ref="G5:K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54"/>
  <sheetViews>
    <sheetView tabSelected="1" workbookViewId="0">
      <selection activeCell="M7" sqref="M7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(sheet1!B9)</f>
        <v>ADAKARAZA SAMUEL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35.058823529411768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19th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54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53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118</v>
      </c>
      <c r="E17" s="8"/>
      <c r="F17" s="9"/>
      <c r="G17" s="92"/>
      <c r="H17" s="19" t="s">
        <v>34</v>
      </c>
      <c r="I17" s="15"/>
      <c r="J17" s="22" t="s">
        <v>53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54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28</v>
      </c>
      <c r="J21" s="47">
        <f>SUM(H21:I21)</f>
        <v>56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28</v>
      </c>
      <c r="I22" s="47">
        <f>VLOOKUP(C9,sheet1!B9:AN48,5,FALSE)</f>
        <v>28</v>
      </c>
      <c r="J22" s="47">
        <f t="shared" ref="J22:J39" si="0">SUM(H22:I22)</f>
        <v>56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17</v>
      </c>
      <c r="I23" s="47">
        <f>VLOOKUP(C9,sheet1!B9:AN48,7,FALSE)</f>
        <v>8</v>
      </c>
      <c r="J23" s="47">
        <f t="shared" si="0"/>
        <v>25</v>
      </c>
      <c r="K23" s="47" t="str">
        <f t="shared" si="1"/>
        <v>F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17</v>
      </c>
      <c r="I24" s="47">
        <f>VLOOKUP(C9,sheet1!B9:AN48,9,FALSE)</f>
        <v>15</v>
      </c>
      <c r="J24" s="47">
        <f t="shared" si="0"/>
        <v>32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13</v>
      </c>
      <c r="I25" s="47">
        <f>VLOOKUP(C9,sheet1!B9:AN48,11,FALSE)</f>
        <v>20</v>
      </c>
      <c r="J25" s="47">
        <f t="shared" si="0"/>
        <v>33</v>
      </c>
      <c r="K25" s="47" t="str">
        <f t="shared" si="1"/>
        <v>F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10</v>
      </c>
      <c r="J26" s="47">
        <f t="shared" si="0"/>
        <v>27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21</v>
      </c>
      <c r="I27" s="47">
        <f>VLOOKUP(C9,sheet1!B9:AN48,15,FALSE)</f>
        <v>30</v>
      </c>
      <c r="J27" s="47">
        <f t="shared" si="0"/>
        <v>51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13</v>
      </c>
      <c r="I28" s="47">
        <f>VLOOKUP(C9,sheet1!B9:AN48,17,FALSE)</f>
        <v>11</v>
      </c>
      <c r="J28" s="47">
        <f t="shared" si="0"/>
        <v>24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17</v>
      </c>
      <c r="I30" s="47">
        <f>VLOOKUP(C9,sheet1!B9:AN48,21,FALSE)</f>
        <v>6</v>
      </c>
      <c r="J30" s="47">
        <f t="shared" si="0"/>
        <v>23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15</v>
      </c>
      <c r="I31" s="47">
        <f>VLOOKUP(C9,sheet1!B9:AN48,23,FALSE)</f>
        <v>11</v>
      </c>
      <c r="J31" s="47">
        <f t="shared" si="0"/>
        <v>26</v>
      </c>
      <c r="K31" s="47" t="str">
        <f t="shared" si="1"/>
        <v>F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24</v>
      </c>
      <c r="J32" s="47">
        <f t="shared" si="0"/>
        <v>44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18</v>
      </c>
      <c r="I34" s="47">
        <f>VLOOKUP(C9,sheet1!B9:AN48,29,FALSE)</f>
        <v>10</v>
      </c>
      <c r="J34" s="47">
        <f t="shared" si="0"/>
        <v>28</v>
      </c>
      <c r="K34" s="47" t="str">
        <f t="shared" si="1"/>
        <v>F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20</v>
      </c>
      <c r="J35" s="47">
        <f t="shared" si="0"/>
        <v>40</v>
      </c>
      <c r="K35" s="47" t="str">
        <f t="shared" si="1"/>
        <v>P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10</v>
      </c>
      <c r="J36" s="47">
        <f t="shared" si="0"/>
        <v>39</v>
      </c>
      <c r="K36" s="47" t="str">
        <f t="shared" si="1"/>
        <v>F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15</v>
      </c>
      <c r="I37" s="47">
        <f>VLOOKUP(C9,sheet1!B9:AN48,35,FALSE)</f>
        <v>3</v>
      </c>
      <c r="J37" s="47">
        <f t="shared" si="0"/>
        <v>18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15</v>
      </c>
      <c r="I38" s="47">
        <f>VLOOKUP(C9,sheet1!B9:AN48,37,FALSE)</f>
        <v>16</v>
      </c>
      <c r="J38" s="47">
        <f t="shared" si="0"/>
        <v>31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21</v>
      </c>
      <c r="I39" s="47">
        <f>VLOOKUP(C9,sheet1!B9:AN48,39,FALSE)</f>
        <v>22</v>
      </c>
      <c r="J39" s="47">
        <f t="shared" si="0"/>
        <v>43</v>
      </c>
      <c r="K39" s="47" t="str">
        <f t="shared" si="1"/>
        <v>P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ht="12.75" customHeight="1" x14ac:dyDescent="0.25">
      <c r="A47" s="91" t="s">
        <v>176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ht="12" customHeight="1" x14ac:dyDescent="0.25">
      <c r="A50" s="91" t="s">
        <v>108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ht="12" customHeight="1" x14ac:dyDescent="0.25">
      <c r="A54" s="23" t="s">
        <v>65</v>
      </c>
    </row>
  </sheetData>
  <sheetProtection algorithmName="SHA-512" hashValue="pLKmuI1+9lX7dg7x5q7s2y/JjSMTNOCgg2mS3iaPK+7oob+PSaIXNJG2CZHYuql5RnTg23VfewgFcGJY7kv6zw==" saltValue="wcCVCGWTFs7HrBLu+2LnBg==" spinCount="100000" sheet="1" objects="1" scenarios="1"/>
  <mergeCells count="14">
    <mergeCell ref="A50:K50"/>
    <mergeCell ref="G15:G18"/>
    <mergeCell ref="A13:B13"/>
    <mergeCell ref="J7:K13"/>
    <mergeCell ref="B1:K2"/>
    <mergeCell ref="B3:K3"/>
    <mergeCell ref="B4:K4"/>
    <mergeCell ref="B5:K6"/>
    <mergeCell ref="A9:B9"/>
    <mergeCell ref="A10:B10"/>
    <mergeCell ref="A11:B11"/>
    <mergeCell ref="A12:B12"/>
    <mergeCell ref="G45:K45"/>
    <mergeCell ref="A47:K47"/>
  </mergeCells>
  <conditionalFormatting sqref="K21:K39">
    <cfRule type="cellIs" dxfId="109" priority="2" operator="equal">
      <formula>"F"</formula>
    </cfRule>
    <cfRule type="cellIs" dxfId="108" priority="3" operator="equal">
      <formula>"P"</formula>
    </cfRule>
    <cfRule type="cellIs" dxfId="107" priority="4" operator="equal">
      <formula>"C"</formula>
    </cfRule>
    <cfRule type="cellIs" dxfId="106" priority="5" operator="equal">
      <formula>"A"</formula>
    </cfRule>
  </conditionalFormatting>
  <conditionalFormatting sqref="K21:K39">
    <cfRule type="cellIs" dxfId="10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sheet2!$H$8:$H$12</xm:f>
          </x14:formula1>
          <xm:sqref>J15:J18</xm:sqref>
        </x14:dataValidation>
        <x14:dataValidation type="list" allowBlank="1" showInputMessage="1" showErrorMessage="1" xr:uid="{00000000-0002-0000-0200-000001000000}">
          <x14:formula1>
            <xm:f>sheet2!$F$8:$F$64</xm:f>
          </x14:formula1>
          <xm:sqref>A47:K47</xm:sqref>
        </x14:dataValidation>
        <x14:dataValidation type="list" allowBlank="1" showInputMessage="1" showErrorMessage="1" xr:uid="{00000000-0002-0000-0200-000002000000}">
          <x14:formula1>
            <xm:f>sheet2!$G$8:$G$64</xm:f>
          </x14:formula1>
          <xm:sqref>A50:K50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K54"/>
  <sheetViews>
    <sheetView zoomScaleNormal="100" workbookViewId="0">
      <selection activeCell="M18" sqref="M18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(sheet1!B10)</f>
        <v>ADEOLA PEDRO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49.764705882352942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12th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128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39</v>
      </c>
      <c r="J21" s="47">
        <f>SUM(H21:I21)</f>
        <v>67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25</v>
      </c>
      <c r="I22" s="47">
        <f>VLOOKUP(C9,sheet1!B9:AN48,5,FALSE)</f>
        <v>39</v>
      </c>
      <c r="J22" s="47">
        <f t="shared" ref="J22:J39" si="0">SUM(H22:I22)</f>
        <v>64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20</v>
      </c>
      <c r="I23" s="47">
        <f>VLOOKUP(C9,sheet1!B9:AN48,7,FALSE)</f>
        <v>22</v>
      </c>
      <c r="J23" s="47">
        <f t="shared" si="0"/>
        <v>42</v>
      </c>
      <c r="K23" s="47" t="str">
        <f t="shared" si="1"/>
        <v>P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24</v>
      </c>
      <c r="I24" s="47">
        <f>VLOOKUP(C9,sheet1!B9:AN48,9,FALSE)</f>
        <v>23</v>
      </c>
      <c r="J24" s="47">
        <f t="shared" si="0"/>
        <v>47</v>
      </c>
      <c r="K24" s="47" t="str">
        <f t="shared" si="1"/>
        <v>P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21</v>
      </c>
      <c r="I25" s="47">
        <f>VLOOKUP(C9,sheet1!B9:AN48,11,FALSE)</f>
        <v>20</v>
      </c>
      <c r="J25" s="47">
        <f t="shared" si="0"/>
        <v>41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24</v>
      </c>
      <c r="I26" s="47">
        <f>VLOOKUP(C9,sheet1!B9:AN48,13,FALSE)</f>
        <v>10</v>
      </c>
      <c r="J26" s="47">
        <f t="shared" si="0"/>
        <v>34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20</v>
      </c>
      <c r="I27" s="47">
        <f>VLOOKUP(C9,sheet1!B9:AN48,15,FALSE)</f>
        <v>30</v>
      </c>
      <c r="J27" s="47">
        <f t="shared" si="0"/>
        <v>50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24</v>
      </c>
      <c r="I28" s="47">
        <f>VLOOKUP(C9,sheet1!B9:AN48,17,FALSE)</f>
        <v>25</v>
      </c>
      <c r="J28" s="47">
        <f t="shared" si="0"/>
        <v>49</v>
      </c>
      <c r="K28" s="47" t="str">
        <f t="shared" si="1"/>
        <v>P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22</v>
      </c>
      <c r="I30" s="47">
        <f>VLOOKUP(C9,sheet1!B9:AN48,21,FALSE)</f>
        <v>37</v>
      </c>
      <c r="J30" s="47">
        <f t="shared" si="0"/>
        <v>59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28</v>
      </c>
      <c r="I31" s="47">
        <f>VLOOKUP(C9,sheet1!B9:AN48,23,FALSE)</f>
        <v>36</v>
      </c>
      <c r="J31" s="47">
        <f t="shared" si="0"/>
        <v>64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30</v>
      </c>
      <c r="J32" s="47">
        <f t="shared" si="0"/>
        <v>55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24</v>
      </c>
      <c r="I34" s="47">
        <f>VLOOKUP(C9,sheet1!B9:AN48,29,FALSE)</f>
        <v>29</v>
      </c>
      <c r="J34" s="47">
        <f t="shared" si="0"/>
        <v>53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20</v>
      </c>
      <c r="J35" s="47">
        <f t="shared" si="0"/>
        <v>40</v>
      </c>
      <c r="K35" s="47" t="str">
        <f t="shared" si="1"/>
        <v>P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28</v>
      </c>
      <c r="J36" s="47">
        <f t="shared" si="0"/>
        <v>57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17</v>
      </c>
      <c r="I37" s="47">
        <f>VLOOKUP(C9,sheet1!B9:AN48,35,FALSE)</f>
        <v>4</v>
      </c>
      <c r="J37" s="47">
        <f t="shared" si="0"/>
        <v>21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14</v>
      </c>
      <c r="I38" s="47">
        <f>VLOOKUP(C9,sheet1!B9:AN48,37,FALSE)</f>
        <v>22</v>
      </c>
      <c r="J38" s="47">
        <f t="shared" si="0"/>
        <v>36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27</v>
      </c>
      <c r="I39" s="47">
        <f>VLOOKUP(C9,sheet1!B9:AN48,39,FALSE)</f>
        <v>40</v>
      </c>
      <c r="J39" s="47">
        <f t="shared" si="0"/>
        <v>67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ht="12.75" customHeight="1" x14ac:dyDescent="0.25">
      <c r="A47" s="91" t="s">
        <v>172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ht="12" customHeight="1" x14ac:dyDescent="0.25">
      <c r="A50" s="91" t="s">
        <v>102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c4V3oQ3qvbVpWI8y7HJQaLV4W3VwtP3lcmyj4RPCSNrVELACOTEtKUl691bA4nCMpGMrIaXrmgI+fO0YWlYSYA==" saltValue="ECWHhLZ/TAWrhlNpJ/Seg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104" priority="2" operator="equal">
      <formula>"F"</formula>
    </cfRule>
    <cfRule type="cellIs" dxfId="103" priority="3" operator="equal">
      <formula>"P"</formula>
    </cfRule>
    <cfRule type="cellIs" dxfId="102" priority="4" operator="equal">
      <formula>"C"</formula>
    </cfRule>
    <cfRule type="cellIs" dxfId="101" priority="5" operator="equal">
      <formula>"A"</formula>
    </cfRule>
  </conditionalFormatting>
  <conditionalFormatting sqref="K21:K39">
    <cfRule type="cellIs" dxfId="10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sheet2!$H$8:$H$12</xm:f>
          </x14:formula1>
          <xm:sqref>J15:J18</xm:sqref>
        </x14:dataValidation>
        <x14:dataValidation type="list" allowBlank="1" showInputMessage="1" showErrorMessage="1" xr:uid="{00000000-0002-0000-0300-000001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300-000002000000}">
          <x14:formula1>
            <xm:f>sheet2!$G$8:$G$64</xm:f>
          </x14:formula1>
          <xm:sqref>A50:K50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K55"/>
  <sheetViews>
    <sheetView workbookViewId="0">
      <selection activeCell="A13" sqref="A13:B13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(sheet1!B11)</f>
        <v>ASAMS DANIELLA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59.588235294117645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7th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126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35</v>
      </c>
      <c r="J21" s="47">
        <f>SUM(H21:I21)</f>
        <v>63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25</v>
      </c>
      <c r="I22" s="47">
        <f>VLOOKUP(C9,sheet1!B9:AN48,5,FALSE)</f>
        <v>55</v>
      </c>
      <c r="J22" s="47">
        <f t="shared" ref="J22:J39" si="0">SUM(H22:I22)</f>
        <v>80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22</v>
      </c>
      <c r="I23" s="47">
        <f>VLOOKUP(C9,sheet1!B9:AN48,7,FALSE)</f>
        <v>60</v>
      </c>
      <c r="J23" s="47">
        <f t="shared" si="0"/>
        <v>82</v>
      </c>
      <c r="K23" s="47" t="str">
        <f t="shared" si="1"/>
        <v>A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18</v>
      </c>
      <c r="I24" s="47">
        <f>VLOOKUP(C9,sheet1!B9:AN48,9,FALSE)</f>
        <v>22</v>
      </c>
      <c r="J24" s="47">
        <f t="shared" si="0"/>
        <v>40</v>
      </c>
      <c r="K24" s="47" t="str">
        <f t="shared" si="1"/>
        <v>P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38</v>
      </c>
      <c r="J26" s="47">
        <f t="shared" si="0"/>
        <v>55</v>
      </c>
      <c r="K26" s="47" t="str">
        <f t="shared" si="1"/>
        <v>C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28</v>
      </c>
      <c r="I27" s="47">
        <f>VLOOKUP(C9,sheet1!B9:AN48,15,FALSE)</f>
        <v>45</v>
      </c>
      <c r="J27" s="47">
        <f t="shared" si="0"/>
        <v>73</v>
      </c>
      <c r="K27" s="47" t="str">
        <f t="shared" si="1"/>
        <v>A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23</v>
      </c>
      <c r="I28" s="47">
        <f>VLOOKUP(C9,sheet1!B9:AN48,17,FALSE)</f>
        <v>52</v>
      </c>
      <c r="J28" s="47">
        <f t="shared" si="0"/>
        <v>75</v>
      </c>
      <c r="K28" s="47" t="str">
        <f t="shared" si="1"/>
        <v>A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20</v>
      </c>
      <c r="I30" s="47">
        <f>VLOOKUP(C9,sheet1!B9:AN48,21,FALSE)</f>
        <v>43</v>
      </c>
      <c r="J30" s="47">
        <f t="shared" si="0"/>
        <v>63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26</v>
      </c>
      <c r="I31" s="47">
        <f>VLOOKUP(C9,sheet1!B9:AN48,23,FALSE)</f>
        <v>35</v>
      </c>
      <c r="J31" s="47">
        <f t="shared" si="0"/>
        <v>61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31</v>
      </c>
      <c r="J32" s="47">
        <f t="shared" si="0"/>
        <v>56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18</v>
      </c>
      <c r="I34" s="47">
        <f>VLOOKUP(C9,sheet1!B9:AN48,29,FALSE)</f>
        <v>37</v>
      </c>
      <c r="J34" s="47">
        <f t="shared" si="0"/>
        <v>55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30</v>
      </c>
      <c r="J35" s="47">
        <f t="shared" si="0"/>
        <v>50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26</v>
      </c>
      <c r="I36" s="47">
        <f>VLOOKUP(C9,sheet1!B9:AN48,33,FALSE)</f>
        <v>32</v>
      </c>
      <c r="J36" s="47">
        <f t="shared" si="0"/>
        <v>58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20</v>
      </c>
      <c r="I37" s="47">
        <f>VLOOKUP(C9,sheet1!B9:AN48,35,FALSE)</f>
        <v>25</v>
      </c>
      <c r="J37" s="47">
        <f t="shared" si="0"/>
        <v>45</v>
      </c>
      <c r="K37" s="47" t="str">
        <f t="shared" si="1"/>
        <v>P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20</v>
      </c>
      <c r="I38" s="47">
        <f>VLOOKUP(C9,sheet1!B9:AN48,37,FALSE)</f>
        <v>31</v>
      </c>
      <c r="J38" s="47">
        <f t="shared" si="0"/>
        <v>51</v>
      </c>
      <c r="K38" s="47" t="str">
        <f t="shared" si="1"/>
        <v>C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26</v>
      </c>
      <c r="I39" s="47">
        <f>VLOOKUP(C9,sheet1!B9:AN48,39,FALSE)</f>
        <v>40</v>
      </c>
      <c r="J39" s="47">
        <f t="shared" si="0"/>
        <v>66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167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103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hidden="1" x14ac:dyDescent="0.25"/>
    <row r="54" spans="1:11" x14ac:dyDescent="0.25">
      <c r="A54" s="37" t="s">
        <v>63</v>
      </c>
    </row>
    <row r="55" spans="1:11" x14ac:dyDescent="0.25">
      <c r="A55" s="23" t="s">
        <v>65</v>
      </c>
    </row>
  </sheetData>
  <sheetProtection algorithmName="SHA-512" hashValue="7RcvUmGegUEO0vDIKS5T3ND4V3U44dhA+2TzYUcmL5l3+SE8tL9Ee+G8QakXfza3EMa109Fb+9jAK4qDeyL4sA==" saltValue="4pvi4bkWsOQNZgIux7q/z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99" priority="2" operator="equal">
      <formula>"F"</formula>
    </cfRule>
    <cfRule type="cellIs" dxfId="98" priority="3" operator="equal">
      <formula>"P"</formula>
    </cfRule>
    <cfRule type="cellIs" dxfId="97" priority="4" operator="equal">
      <formula>"C"</formula>
    </cfRule>
    <cfRule type="cellIs" dxfId="96" priority="5" operator="equal">
      <formula>"A"</formula>
    </cfRule>
  </conditionalFormatting>
  <conditionalFormatting sqref="K21:K39">
    <cfRule type="cellIs" dxfId="9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4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4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K54"/>
  <sheetViews>
    <sheetView workbookViewId="0">
      <selection activeCell="B7" sqref="B7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(sheet1!B12)</f>
        <v>ASIBOR NANCY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59.117647058823529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8th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108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50</v>
      </c>
      <c r="J21" s="47">
        <f>SUM(H21:I21)</f>
        <v>78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27</v>
      </c>
      <c r="I22" s="47">
        <f>VLOOKUP(C9,sheet1!B9:AN48,5,FALSE)</f>
        <v>51</v>
      </c>
      <c r="J22" s="47">
        <f t="shared" ref="J22:J39" si="0">SUM(H22:I22)</f>
        <v>78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20</v>
      </c>
      <c r="I23" s="47">
        <f>VLOOKUP(C9,sheet1!B9:AN48,7,FALSE)</f>
        <v>30</v>
      </c>
      <c r="J23" s="47">
        <f t="shared" si="0"/>
        <v>50</v>
      </c>
      <c r="K23" s="47" t="str">
        <f t="shared" si="1"/>
        <v>C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24</v>
      </c>
      <c r="I24" s="47">
        <f>VLOOKUP(C9,sheet1!B9:AN48,9,FALSE)</f>
        <v>30</v>
      </c>
      <c r="J24" s="47">
        <f t="shared" si="0"/>
        <v>54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29</v>
      </c>
      <c r="I25" s="47">
        <f>VLOOKUP(C9,sheet1!B9:AN48,11,FALSE)</f>
        <v>38</v>
      </c>
      <c r="J25" s="47">
        <f t="shared" si="0"/>
        <v>67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23</v>
      </c>
      <c r="I26" s="47">
        <f>VLOOKUP(C9,sheet1!B9:AN48,13,FALSE)</f>
        <v>53</v>
      </c>
      <c r="J26" s="47">
        <f t="shared" si="0"/>
        <v>76</v>
      </c>
      <c r="K26" s="47" t="str">
        <f t="shared" si="1"/>
        <v>A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23</v>
      </c>
      <c r="I27" s="47">
        <f>VLOOKUP(C9,sheet1!B9:AN48,15,FALSE)</f>
        <v>36</v>
      </c>
      <c r="J27" s="47">
        <f t="shared" si="0"/>
        <v>59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27</v>
      </c>
      <c r="I28" s="47">
        <f>VLOOKUP(C9,sheet1!B9:AN48,17,FALSE)</f>
        <v>26</v>
      </c>
      <c r="J28" s="47">
        <f t="shared" si="0"/>
        <v>53</v>
      </c>
      <c r="K28" s="47" t="str">
        <f t="shared" si="1"/>
        <v>C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10</v>
      </c>
      <c r="I30" s="47">
        <f>VLOOKUP(C9,sheet1!B9:AN48,21,FALSE)</f>
        <v>44</v>
      </c>
      <c r="J30" s="47">
        <f t="shared" si="0"/>
        <v>54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27</v>
      </c>
      <c r="I31" s="47">
        <f>VLOOKUP(C9,sheet1!B9:AN48,23,FALSE)</f>
        <v>35</v>
      </c>
      <c r="J31" s="47">
        <f t="shared" si="0"/>
        <v>62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23</v>
      </c>
      <c r="I32" s="47">
        <f>VLOOKUP(C9,sheet1!B9:AN48,25,FALSE)</f>
        <v>30</v>
      </c>
      <c r="J32" s="47">
        <f t="shared" si="0"/>
        <v>53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21</v>
      </c>
      <c r="I34" s="47">
        <f>VLOOKUP(C9,sheet1!B9:AN48,29,FALSE)</f>
        <v>36</v>
      </c>
      <c r="J34" s="47">
        <f t="shared" si="0"/>
        <v>57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28</v>
      </c>
      <c r="J35" s="47">
        <f t="shared" si="0"/>
        <v>48</v>
      </c>
      <c r="K35" s="47" t="str">
        <f t="shared" si="1"/>
        <v>P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26</v>
      </c>
      <c r="I36" s="47">
        <f>VLOOKUP(C9,sheet1!B9:AN48,33,FALSE)</f>
        <v>40</v>
      </c>
      <c r="J36" s="47">
        <f t="shared" si="0"/>
        <v>66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17</v>
      </c>
      <c r="I37" s="47">
        <f>VLOOKUP(C9,sheet1!B9:AN48,35,FALSE)</f>
        <v>27</v>
      </c>
      <c r="J37" s="47">
        <f t="shared" si="0"/>
        <v>44</v>
      </c>
      <c r="K37" s="47" t="str">
        <f t="shared" si="1"/>
        <v>P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20</v>
      </c>
      <c r="I38" s="47">
        <f>VLOOKUP(C9,sheet1!B9:AN48,37,FALSE)</f>
        <v>41</v>
      </c>
      <c r="J38" s="47">
        <f t="shared" si="0"/>
        <v>61</v>
      </c>
      <c r="K38" s="47" t="str">
        <f t="shared" si="1"/>
        <v>C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19</v>
      </c>
      <c r="I39" s="47">
        <f>VLOOKUP(C9,sheet1!B9:AN48,39,FALSE)</f>
        <v>26</v>
      </c>
      <c r="J39" s="47">
        <f t="shared" si="0"/>
        <v>45</v>
      </c>
      <c r="K39" s="47" t="str">
        <f t="shared" si="1"/>
        <v>P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84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161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ONtQlN0rIX7bPz8Brls8aX0REoU9NvQYP+Y60c84OR3aQG8d8ai9mXWkaSRV/X6/3yUqKNbTluT8uW9WwG7sxw==" saltValue="YvR/xOZztVehdIfi3ZrD7g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94" priority="2" operator="equal">
      <formula>"F"</formula>
    </cfRule>
    <cfRule type="cellIs" dxfId="93" priority="3" operator="equal">
      <formula>"P"</formula>
    </cfRule>
    <cfRule type="cellIs" dxfId="92" priority="4" operator="equal">
      <formula>"C"</formula>
    </cfRule>
    <cfRule type="cellIs" dxfId="91" priority="5" operator="equal">
      <formula>"A"</formula>
    </cfRule>
  </conditionalFormatting>
  <conditionalFormatting sqref="K21:K39">
    <cfRule type="cellIs" dxfId="9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5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5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K54"/>
  <sheetViews>
    <sheetView workbookViewId="0">
      <selection activeCell="B1" sqref="B1:K2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(sheet1!B13)</f>
        <v>BANKOLE AMEERAT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71.117647058823536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1st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128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68</v>
      </c>
      <c r="J21" s="47">
        <f>SUM(H21:I21)</f>
        <v>96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28</v>
      </c>
      <c r="I22" s="47">
        <f>VLOOKUP(C9,sheet1!B9:AN48,5,FALSE)</f>
        <v>66</v>
      </c>
      <c r="J22" s="47">
        <f t="shared" ref="J22:J39" si="0">SUM(H22:I22)</f>
        <v>94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22</v>
      </c>
      <c r="I23" s="47">
        <f>VLOOKUP(C9,sheet1!B9:AN48,7,FALSE)</f>
        <v>52</v>
      </c>
      <c r="J23" s="47">
        <f t="shared" si="0"/>
        <v>74</v>
      </c>
      <c r="K23" s="47" t="str">
        <f t="shared" si="1"/>
        <v>A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16</v>
      </c>
      <c r="I24" s="47">
        <f>VLOOKUP(C9,sheet1!B9:AN48,9,FALSE)</f>
        <v>20</v>
      </c>
      <c r="J24" s="47">
        <f t="shared" si="0"/>
        <v>36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35</v>
      </c>
      <c r="J25" s="47">
        <f t="shared" si="0"/>
        <v>55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22</v>
      </c>
      <c r="I26" s="47">
        <f>VLOOKUP(C9,sheet1!B9:AN48,13,FALSE)</f>
        <v>33</v>
      </c>
      <c r="J26" s="47">
        <f t="shared" si="0"/>
        <v>55</v>
      </c>
      <c r="K26" s="47" t="str">
        <f t="shared" si="1"/>
        <v>C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24</v>
      </c>
      <c r="I27" s="47">
        <f>VLOOKUP(C9,sheet1!B9:AN48,15,FALSE)</f>
        <v>55</v>
      </c>
      <c r="J27" s="47">
        <f t="shared" si="0"/>
        <v>79</v>
      </c>
      <c r="K27" s="47" t="str">
        <f t="shared" si="1"/>
        <v>A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24</v>
      </c>
      <c r="I28" s="47">
        <f>VLOOKUP(C9,sheet1!B9:AN48,17,FALSE)</f>
        <v>41</v>
      </c>
      <c r="J28" s="47">
        <f t="shared" si="0"/>
        <v>65</v>
      </c>
      <c r="K28" s="47" t="str">
        <f t="shared" si="1"/>
        <v>C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22</v>
      </c>
      <c r="I30" s="47">
        <f>VLOOKUP(C9,sheet1!B9:AN48,21,FALSE)</f>
        <v>56</v>
      </c>
      <c r="J30" s="47">
        <f t="shared" si="0"/>
        <v>78</v>
      </c>
      <c r="K30" s="47" t="str">
        <f t="shared" si="1"/>
        <v>A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29</v>
      </c>
      <c r="I31" s="47">
        <f>VLOOKUP(C9,sheet1!B9:AN48,23,FALSE)</f>
        <v>57</v>
      </c>
      <c r="J31" s="47">
        <f t="shared" si="0"/>
        <v>86</v>
      </c>
      <c r="K31" s="47" t="str">
        <f t="shared" si="1"/>
        <v>A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27</v>
      </c>
      <c r="I32" s="47">
        <f>VLOOKUP(C9,sheet1!B9:AN48,25,FALSE)</f>
        <v>53</v>
      </c>
      <c r="J32" s="47">
        <f t="shared" si="0"/>
        <v>80</v>
      </c>
      <c r="K32" s="47" t="str">
        <f t="shared" si="1"/>
        <v>A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24</v>
      </c>
      <c r="I34" s="47">
        <f>VLOOKUP(C9,sheet1!B9:AN48,29,FALSE)</f>
        <v>39</v>
      </c>
      <c r="J34" s="47">
        <f t="shared" si="0"/>
        <v>63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25</v>
      </c>
      <c r="I35" s="47">
        <f>VLOOKUP(C9,sheet1!B9:AN48,31,FALSE)</f>
        <v>40</v>
      </c>
      <c r="J35" s="47">
        <f t="shared" si="0"/>
        <v>65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26</v>
      </c>
      <c r="I36" s="47">
        <f>VLOOKUP(C9,sheet1!B9:AN48,33,FALSE)</f>
        <v>37</v>
      </c>
      <c r="J36" s="47">
        <f t="shared" si="0"/>
        <v>63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21</v>
      </c>
      <c r="I37" s="47">
        <f>VLOOKUP(C9,sheet1!B9:AN48,35,FALSE)</f>
        <v>33</v>
      </c>
      <c r="J37" s="47">
        <f t="shared" si="0"/>
        <v>54</v>
      </c>
      <c r="K37" s="47" t="str">
        <f t="shared" si="1"/>
        <v>C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22</v>
      </c>
      <c r="I38" s="47">
        <f>VLOOKUP(C9,sheet1!B9:AN48,37,FALSE)</f>
        <v>53</v>
      </c>
      <c r="J38" s="47">
        <f t="shared" si="0"/>
        <v>75</v>
      </c>
      <c r="K38" s="47" t="str">
        <f t="shared" si="1"/>
        <v>A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23</v>
      </c>
      <c r="I39" s="47">
        <f>VLOOKUP(C9,sheet1!B9:AN48,39,FALSE)</f>
        <v>68</v>
      </c>
      <c r="J39" s="47">
        <f t="shared" si="0"/>
        <v>91</v>
      </c>
      <c r="K39" s="47" t="str">
        <f t="shared" si="1"/>
        <v>A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167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150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tXTPob+mpE0PUDQ9R4cTaarcIUtKH1KBN01N9SB8Ve88Dl7/I94+nEywqXAyT9FkgaZiFz4XLKcJVphwyvxbcg==" saltValue="OhfopbmVUwnYvKyo7sRmO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89" priority="2" operator="equal">
      <formula>"F"</formula>
    </cfRule>
    <cfRule type="cellIs" dxfId="88" priority="3" operator="equal">
      <formula>"P"</formula>
    </cfRule>
    <cfRule type="cellIs" dxfId="87" priority="4" operator="equal">
      <formula>"C"</formula>
    </cfRule>
    <cfRule type="cellIs" dxfId="86" priority="5" operator="equal">
      <formula>"A"</formula>
    </cfRule>
  </conditionalFormatting>
  <conditionalFormatting sqref="K21:K39">
    <cfRule type="cellIs" dxfId="8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6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6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K54"/>
  <sheetViews>
    <sheetView workbookViewId="0">
      <selection activeCell="A9" sqref="A9:B9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(sheet1!B14)</f>
        <v>CHIEKEZIE MAXWELL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34.823529411764703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20th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56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53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116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54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18</v>
      </c>
      <c r="J21" s="47">
        <f>SUM(H21:I21)</f>
        <v>46</v>
      </c>
      <c r="K21" s="47" t="str">
        <f>IF(J21&gt;=70,"A",IF(J21&gt;=50,"C",IF(J21&gt;=40,"P","F")))</f>
        <v>P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22</v>
      </c>
      <c r="I22" s="47">
        <f>VLOOKUP(C9,sheet1!B9:AN48,5,FALSE)</f>
        <v>21</v>
      </c>
      <c r="J22" s="47">
        <f t="shared" ref="J22:J39" si="0">SUM(H22:I22)</f>
        <v>43</v>
      </c>
      <c r="K22" s="47" t="str">
        <f t="shared" ref="K22:K39" si="1">IF(J22&gt;=70,"A",IF(J22&gt;=50,"C",IF(J22&gt;=40,"P","F")))</f>
        <v>P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20</v>
      </c>
      <c r="I23" s="47">
        <f>VLOOKUP(C9,sheet1!B9:AN48,7,FALSE)</f>
        <v>5</v>
      </c>
      <c r="J23" s="47">
        <f t="shared" si="0"/>
        <v>25</v>
      </c>
      <c r="K23" s="47" t="str">
        <f t="shared" si="1"/>
        <v>F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16</v>
      </c>
      <c r="I24" s="47">
        <f>VLOOKUP(C9,sheet1!B9:AN48,9,FALSE)</f>
        <v>32</v>
      </c>
      <c r="J24" s="47">
        <f t="shared" si="0"/>
        <v>48</v>
      </c>
      <c r="K24" s="47" t="str">
        <f t="shared" si="1"/>
        <v>P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14</v>
      </c>
      <c r="I26" s="47">
        <f>VLOOKUP(C9,sheet1!B9:AN48,13,FALSE)</f>
        <v>22</v>
      </c>
      <c r="J26" s="47">
        <f t="shared" si="0"/>
        <v>36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17</v>
      </c>
      <c r="I27" s="47">
        <f>VLOOKUP(C9,sheet1!B9:AN48,15,FALSE)</f>
        <v>13</v>
      </c>
      <c r="J27" s="47">
        <f t="shared" si="0"/>
        <v>30</v>
      </c>
      <c r="K27" s="47" t="str">
        <f t="shared" si="1"/>
        <v>F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18</v>
      </c>
      <c r="I28" s="47">
        <f>VLOOKUP(C9,sheet1!B9:AN48,17,FALSE)</f>
        <v>14</v>
      </c>
      <c r="J28" s="47">
        <f t="shared" si="0"/>
        <v>32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18</v>
      </c>
      <c r="I30" s="47">
        <f>VLOOKUP(C9,sheet1!B9:AN48,21,FALSE)</f>
        <v>1</v>
      </c>
      <c r="J30" s="47">
        <f t="shared" si="0"/>
        <v>19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17</v>
      </c>
      <c r="I31" s="47">
        <f>VLOOKUP(C9,sheet1!B9:AN48,23,FALSE)</f>
        <v>24</v>
      </c>
      <c r="J31" s="47">
        <f t="shared" si="0"/>
        <v>41</v>
      </c>
      <c r="K31" s="47" t="str">
        <f t="shared" si="1"/>
        <v>P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20</v>
      </c>
      <c r="J32" s="47">
        <f t="shared" si="0"/>
        <v>40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18</v>
      </c>
      <c r="I34" s="47">
        <f>VLOOKUP(C9,sheet1!B9:AN48,29,FALSE)</f>
        <v>25</v>
      </c>
      <c r="J34" s="47">
        <f t="shared" si="0"/>
        <v>43</v>
      </c>
      <c r="K34" s="47" t="str">
        <f t="shared" si="1"/>
        <v>P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18</v>
      </c>
      <c r="J35" s="47">
        <f t="shared" si="0"/>
        <v>38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7</v>
      </c>
      <c r="J36" s="47">
        <f t="shared" si="0"/>
        <v>36</v>
      </c>
      <c r="K36" s="47" t="str">
        <f t="shared" si="1"/>
        <v>F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14</v>
      </c>
      <c r="I37" s="47">
        <f>VLOOKUP(C9,sheet1!B9:AN48,35,FALSE)</f>
        <v>5</v>
      </c>
      <c r="J37" s="47">
        <f t="shared" si="0"/>
        <v>19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20</v>
      </c>
      <c r="I38" s="47">
        <f>VLOOKUP(C9,sheet1!B9:AN48,37,FALSE)</f>
        <v>17</v>
      </c>
      <c r="J38" s="47">
        <f t="shared" si="0"/>
        <v>37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12</v>
      </c>
      <c r="I39" s="47">
        <f>VLOOKUP(C9,sheet1!B9:AN48,39,FALSE)</f>
        <v>7</v>
      </c>
      <c r="J39" s="47">
        <f t="shared" si="0"/>
        <v>19</v>
      </c>
      <c r="K39" s="47" t="str">
        <f t="shared" si="1"/>
        <v>F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162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99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ZATPfkPQYSGSWvoQ/gleZOi5rgkZ8IRhj3TRo2t4yzrTeVB9DT6AH1WfdHdbjydaGGFIurpFd8TAdzbNZ1dtJQ==" saltValue="csR6cDh7/yhvqdrj9nYjL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84" priority="2" operator="equal">
      <formula>"F"</formula>
    </cfRule>
    <cfRule type="cellIs" dxfId="83" priority="3" operator="equal">
      <formula>"P"</formula>
    </cfRule>
    <cfRule type="cellIs" dxfId="82" priority="4" operator="equal">
      <formula>"C"</formula>
    </cfRule>
    <cfRule type="cellIs" dxfId="81" priority="5" operator="equal">
      <formula>"A"</formula>
    </cfRule>
  </conditionalFormatting>
  <conditionalFormatting sqref="K21:K39">
    <cfRule type="cellIs" dxfId="8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7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7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K54"/>
  <sheetViews>
    <sheetView workbookViewId="0">
      <selection activeCell="N6" sqref="N6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(sheet1!B15)</f>
        <v>EDET MOSES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55.058823529411768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9th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112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30</v>
      </c>
      <c r="J21" s="47">
        <f>SUM(H21:I21)</f>
        <v>58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25</v>
      </c>
      <c r="I22" s="47">
        <f>VLOOKUP(C9,sheet1!B9:AN48,5,FALSE)</f>
        <v>37</v>
      </c>
      <c r="J22" s="47">
        <f t="shared" ref="J22:J39" si="0">SUM(H22:I22)</f>
        <v>62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25</v>
      </c>
      <c r="I23" s="47">
        <f>VLOOKUP(C9,sheet1!B9:AN48,7,FALSE)</f>
        <v>42</v>
      </c>
      <c r="J23" s="47">
        <f t="shared" si="0"/>
        <v>67</v>
      </c>
      <c r="K23" s="47" t="str">
        <f t="shared" si="1"/>
        <v>C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14</v>
      </c>
      <c r="I24" s="47">
        <f>VLOOKUP(C9,sheet1!B9:AN48,9,FALSE)</f>
        <v>42</v>
      </c>
      <c r="J24" s="47">
        <f t="shared" si="0"/>
        <v>56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27</v>
      </c>
      <c r="I25" s="47">
        <f>VLOOKUP(C9,sheet1!B9:AN48,11,FALSE)</f>
        <v>40</v>
      </c>
      <c r="J25" s="47">
        <f t="shared" si="0"/>
        <v>67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20</v>
      </c>
      <c r="I26" s="47">
        <f>VLOOKUP(C9,sheet1!B9:AN48,13,FALSE)</f>
        <v>22</v>
      </c>
      <c r="J26" s="47">
        <f t="shared" si="0"/>
        <v>42</v>
      </c>
      <c r="K26" s="47" t="str">
        <f t="shared" si="1"/>
        <v>P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18</v>
      </c>
      <c r="I27" s="47">
        <f>VLOOKUP(C9,sheet1!B9:AN48,15,FALSE)</f>
        <v>45</v>
      </c>
      <c r="J27" s="47">
        <f t="shared" si="0"/>
        <v>63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19</v>
      </c>
      <c r="I28" s="47">
        <f>VLOOKUP(C9,sheet1!B9:AN48,17,FALSE)</f>
        <v>18</v>
      </c>
      <c r="J28" s="47">
        <f t="shared" si="0"/>
        <v>37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11</v>
      </c>
      <c r="I30" s="47">
        <f>VLOOKUP(C9,sheet1!B9:AN48,21,FALSE)</f>
        <v>41</v>
      </c>
      <c r="J30" s="47">
        <f t="shared" si="0"/>
        <v>52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23</v>
      </c>
      <c r="I31" s="47">
        <f>VLOOKUP(C9,sheet1!B9:AN48,23,FALSE)</f>
        <v>41</v>
      </c>
      <c r="J31" s="47">
        <f t="shared" si="0"/>
        <v>64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27</v>
      </c>
      <c r="I32" s="47">
        <f>VLOOKUP(C9,sheet1!B9:AN48,25,FALSE)</f>
        <v>43</v>
      </c>
      <c r="J32" s="47">
        <f t="shared" si="0"/>
        <v>70</v>
      </c>
      <c r="K32" s="47" t="str">
        <f t="shared" si="1"/>
        <v>A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17</v>
      </c>
      <c r="I34" s="47">
        <f>VLOOKUP(C9,sheet1!B9:AN48,29,FALSE)</f>
        <v>34</v>
      </c>
      <c r="J34" s="47">
        <f t="shared" si="0"/>
        <v>51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48</v>
      </c>
      <c r="J35" s="47">
        <f t="shared" si="0"/>
        <v>68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27</v>
      </c>
      <c r="I36" s="47">
        <f>VLOOKUP(C9,sheet1!B9:AN48,33,FALSE)</f>
        <v>28</v>
      </c>
      <c r="J36" s="47">
        <f t="shared" si="0"/>
        <v>55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15</v>
      </c>
      <c r="I37" s="47">
        <f>VLOOKUP(C9,sheet1!B9:AN48,35,FALSE)</f>
        <v>38</v>
      </c>
      <c r="J37" s="47">
        <f t="shared" si="0"/>
        <v>53</v>
      </c>
      <c r="K37" s="47" t="str">
        <f t="shared" si="1"/>
        <v>C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15</v>
      </c>
      <c r="I38" s="47">
        <f>VLOOKUP(C9,sheet1!B9:AN48,37,FALSE)</f>
        <v>18</v>
      </c>
      <c r="J38" s="47">
        <f t="shared" si="0"/>
        <v>33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22</v>
      </c>
      <c r="I39" s="47">
        <f>VLOOKUP(C9,sheet1!B9:AN48,39,FALSE)</f>
        <v>16</v>
      </c>
      <c r="J39" s="47">
        <f t="shared" si="0"/>
        <v>38</v>
      </c>
      <c r="K39" s="47" t="str">
        <f t="shared" si="1"/>
        <v>F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86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101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2w8TzLrUT1afW3tiqBfwbH0TkS7WZjlS6RMZyLQUjzmFgoRr+32TXFIr8wcmerKHVXfNgrfm3TsFjuc8/EujnQ==" saltValue="hKCYBOTCjUPwKGEjmo+Jl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79" priority="2" operator="equal">
      <formula>"F"</formula>
    </cfRule>
    <cfRule type="cellIs" dxfId="78" priority="3" operator="equal">
      <formula>"P"</formula>
    </cfRule>
    <cfRule type="cellIs" dxfId="77" priority="4" operator="equal">
      <formula>"C"</formula>
    </cfRule>
    <cfRule type="cellIs" dxfId="76" priority="5" operator="equal">
      <formula>"A"</formula>
    </cfRule>
  </conditionalFormatting>
  <conditionalFormatting sqref="K21:K39">
    <cfRule type="cellIs" dxfId="7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8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8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54"/>
  <sheetViews>
    <sheetView workbookViewId="0">
      <selection activeCell="M7" sqref="M7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(sheet1!B16)</f>
        <v>ENEJOH PHINEHAS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39.352941176470587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16th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120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39</v>
      </c>
      <c r="J21" s="47">
        <f>SUM(H21:I21)</f>
        <v>67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22</v>
      </c>
      <c r="I22" s="47">
        <f>VLOOKUP(C9,sheet1!B9:AN48,5,FALSE)</f>
        <v>24</v>
      </c>
      <c r="J22" s="47">
        <f t="shared" ref="J22:J39" si="0">SUM(H22:I22)</f>
        <v>46</v>
      </c>
      <c r="K22" s="47" t="str">
        <f t="shared" ref="K22:K39" si="1">IF(J22&gt;=70,"A",IF(J22&gt;=50,"C",IF(J22&gt;=40,"P","F")))</f>
        <v>P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28</v>
      </c>
      <c r="I23" s="47">
        <f>VLOOKUP(C9,sheet1!B9:AN48,7,FALSE)</f>
        <v>4</v>
      </c>
      <c r="J23" s="47">
        <f t="shared" si="0"/>
        <v>32</v>
      </c>
      <c r="K23" s="47" t="str">
        <f t="shared" si="1"/>
        <v>F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15</v>
      </c>
      <c r="I24" s="47">
        <f>VLOOKUP(C9,sheet1!B9:AN48,9,FALSE)</f>
        <v>15</v>
      </c>
      <c r="J24" s="47">
        <f t="shared" si="0"/>
        <v>30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21</v>
      </c>
      <c r="I26" s="47">
        <f>VLOOKUP(C9,sheet1!B9:AN48,13,FALSE)</f>
        <v>26</v>
      </c>
      <c r="J26" s="47">
        <f t="shared" si="0"/>
        <v>47</v>
      </c>
      <c r="K26" s="47" t="str">
        <f t="shared" si="1"/>
        <v>P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18</v>
      </c>
      <c r="I27" s="47">
        <f>VLOOKUP(C9,sheet1!B9:AN48,15,FALSE)</f>
        <v>16</v>
      </c>
      <c r="J27" s="47">
        <f t="shared" si="0"/>
        <v>34</v>
      </c>
      <c r="K27" s="47" t="str">
        <f t="shared" si="1"/>
        <v>F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18</v>
      </c>
      <c r="I28" s="47">
        <f>VLOOKUP(C9,sheet1!B9:AN48,17,FALSE)</f>
        <v>13</v>
      </c>
      <c r="J28" s="47">
        <f t="shared" si="0"/>
        <v>31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19</v>
      </c>
      <c r="I30" s="47">
        <f>VLOOKUP(C9,sheet1!B9:AN48,21,FALSE)</f>
        <v>8</v>
      </c>
      <c r="J30" s="47">
        <f t="shared" si="0"/>
        <v>27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23</v>
      </c>
      <c r="I31" s="47">
        <f>VLOOKUP(C9,sheet1!B9:AN48,23,FALSE)</f>
        <v>9</v>
      </c>
      <c r="J31" s="47">
        <f t="shared" si="0"/>
        <v>32</v>
      </c>
      <c r="K31" s="47" t="str">
        <f t="shared" si="1"/>
        <v>F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20</v>
      </c>
      <c r="J32" s="47">
        <f t="shared" si="0"/>
        <v>40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18</v>
      </c>
      <c r="I34" s="47">
        <f>VLOOKUP(C9,sheet1!B9:AN48,29,FALSE)</f>
        <v>22</v>
      </c>
      <c r="J34" s="47">
        <f t="shared" si="0"/>
        <v>40</v>
      </c>
      <c r="K34" s="47" t="str">
        <f t="shared" si="1"/>
        <v>P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14</v>
      </c>
      <c r="J35" s="47">
        <f t="shared" si="0"/>
        <v>34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20</v>
      </c>
      <c r="J36" s="47">
        <f t="shared" si="0"/>
        <v>49</v>
      </c>
      <c r="K36" s="47" t="str">
        <f t="shared" si="1"/>
        <v>P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18</v>
      </c>
      <c r="I37" s="47">
        <f>VLOOKUP(C9,sheet1!B9:AN48,35,FALSE)</f>
        <v>14</v>
      </c>
      <c r="J37" s="47">
        <f t="shared" si="0"/>
        <v>32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23</v>
      </c>
      <c r="I38" s="47">
        <f>VLOOKUP(C9,sheet1!B9:AN48,37,FALSE)</f>
        <v>25</v>
      </c>
      <c r="J38" s="47">
        <f t="shared" si="0"/>
        <v>48</v>
      </c>
      <c r="K38" s="47" t="str">
        <f t="shared" si="1"/>
        <v>P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13</v>
      </c>
      <c r="I39" s="47">
        <f>VLOOKUP(C9,sheet1!B9:AN48,39,FALSE)</f>
        <v>27</v>
      </c>
      <c r="J39" s="47">
        <f t="shared" si="0"/>
        <v>40</v>
      </c>
      <c r="K39" s="47" t="str">
        <f t="shared" si="1"/>
        <v>P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86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104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ml67dhAKn+KnV49V1bamPJ9+yFgELYKj1Tjy0GsBzEg81vmxYf8lltVlM2C1rRRblykRhXTGPXQRFw6taQOJhg==" saltValue="O6Kv50T/tEBbPVFI7nGLig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74" priority="2" operator="equal">
      <formula>"F"</formula>
    </cfRule>
    <cfRule type="cellIs" dxfId="73" priority="3" operator="equal">
      <formula>"P"</formula>
    </cfRule>
    <cfRule type="cellIs" dxfId="72" priority="4" operator="equal">
      <formula>"C"</formula>
    </cfRule>
    <cfRule type="cellIs" dxfId="71" priority="5" operator="equal">
      <formula>"A"</formula>
    </cfRule>
  </conditionalFormatting>
  <conditionalFormatting sqref="K21:K39">
    <cfRule type="cellIs" dxfId="7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9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9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54"/>
  <sheetViews>
    <sheetView workbookViewId="0">
      <selection activeCell="M6" sqref="M6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(sheet1!B17)</f>
        <v>EWELUKWA FAVOUR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63.117647058823529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5th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118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63</v>
      </c>
      <c r="J21" s="47">
        <f>SUM(H21:I21)</f>
        <v>91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27</v>
      </c>
      <c r="I22" s="47">
        <f>VLOOKUP(C9,sheet1!B9:AN48,5,FALSE)</f>
        <v>53</v>
      </c>
      <c r="J22" s="47">
        <f t="shared" ref="J22:J39" si="0">SUM(H22:I22)</f>
        <v>80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27</v>
      </c>
      <c r="I23" s="47">
        <f>VLOOKUP(C9,sheet1!B9:AN48,7,FALSE)</f>
        <v>46</v>
      </c>
      <c r="J23" s="47">
        <f t="shared" si="0"/>
        <v>73</v>
      </c>
      <c r="K23" s="47" t="str">
        <f t="shared" si="1"/>
        <v>A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20</v>
      </c>
      <c r="I24" s="47">
        <f>VLOOKUP(C9,sheet1!B9:AN48,9,FALSE)</f>
        <v>40</v>
      </c>
      <c r="J24" s="47">
        <f t="shared" si="0"/>
        <v>60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26</v>
      </c>
      <c r="I25" s="47">
        <f>VLOOKUP(C9,sheet1!B9:AN48,11,FALSE)</f>
        <v>30</v>
      </c>
      <c r="J25" s="47">
        <f t="shared" si="0"/>
        <v>56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16</v>
      </c>
      <c r="J26" s="47">
        <f t="shared" si="0"/>
        <v>33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21</v>
      </c>
      <c r="I27" s="47">
        <f>VLOOKUP(C9,sheet1!B9:AN48,15,FALSE)</f>
        <v>49</v>
      </c>
      <c r="J27" s="47">
        <f t="shared" si="0"/>
        <v>70</v>
      </c>
      <c r="K27" s="47" t="str">
        <f t="shared" si="1"/>
        <v>A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28</v>
      </c>
      <c r="I28" s="47">
        <f>VLOOKUP(C9,sheet1!B9:AN48,17,FALSE)</f>
        <v>40</v>
      </c>
      <c r="J28" s="47">
        <f t="shared" si="0"/>
        <v>68</v>
      </c>
      <c r="K28" s="47" t="str">
        <f t="shared" si="1"/>
        <v>C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20</v>
      </c>
      <c r="I30" s="47">
        <f>VLOOKUP(C9,sheet1!B9:AN48,21,FALSE)</f>
        <v>50</v>
      </c>
      <c r="J30" s="47">
        <f t="shared" si="0"/>
        <v>70</v>
      </c>
      <c r="K30" s="47" t="str">
        <f t="shared" si="1"/>
        <v>A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30</v>
      </c>
      <c r="I31" s="47">
        <f>VLOOKUP(C9,sheet1!B9:AN48,23,FALSE)</f>
        <v>54</v>
      </c>
      <c r="J31" s="47">
        <f t="shared" si="0"/>
        <v>84</v>
      </c>
      <c r="K31" s="47" t="str">
        <f t="shared" si="1"/>
        <v>A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29</v>
      </c>
      <c r="I32" s="47">
        <f>VLOOKUP(C9,sheet1!B9:AN48,25,FALSE)</f>
        <v>53</v>
      </c>
      <c r="J32" s="47">
        <f t="shared" si="0"/>
        <v>82</v>
      </c>
      <c r="K32" s="47" t="str">
        <f t="shared" si="1"/>
        <v>A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23</v>
      </c>
      <c r="I34" s="47">
        <f>VLOOKUP(C9,sheet1!B9:AN48,29,FALSE)</f>
        <v>38</v>
      </c>
      <c r="J34" s="47">
        <f t="shared" si="0"/>
        <v>61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20</v>
      </c>
      <c r="I35" s="47">
        <f>VLOOKUP(C9,sheet1!B9:AN48,31,FALSE)</f>
        <v>25</v>
      </c>
      <c r="J35" s="47">
        <f t="shared" si="0"/>
        <v>45</v>
      </c>
      <c r="K35" s="47" t="str">
        <f t="shared" si="1"/>
        <v>P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26</v>
      </c>
      <c r="I36" s="47">
        <f>VLOOKUP(C9,sheet1!B9:AN48,33,FALSE)</f>
        <v>35</v>
      </c>
      <c r="J36" s="47">
        <f t="shared" si="0"/>
        <v>61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19</v>
      </c>
      <c r="I37" s="47">
        <f>VLOOKUP(C9,sheet1!B9:AN48,35,FALSE)</f>
        <v>24</v>
      </c>
      <c r="J37" s="47">
        <f t="shared" si="0"/>
        <v>43</v>
      </c>
      <c r="K37" s="47" t="str">
        <f t="shared" si="1"/>
        <v>P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23</v>
      </c>
      <c r="I38" s="47">
        <f>VLOOKUP(C9,sheet1!B9:AN48,37,FALSE)</f>
        <v>35</v>
      </c>
      <c r="J38" s="47">
        <f t="shared" si="0"/>
        <v>58</v>
      </c>
      <c r="K38" s="47" t="str">
        <f t="shared" si="1"/>
        <v>C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24</v>
      </c>
      <c r="I39" s="47">
        <f>VLOOKUP(C9,sheet1!B9:AN48,39,FALSE)</f>
        <v>14</v>
      </c>
      <c r="J39" s="47">
        <f t="shared" si="0"/>
        <v>38</v>
      </c>
      <c r="K39" s="47" t="str">
        <f t="shared" si="1"/>
        <v>F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167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103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t9mu9OqS590x9YND+ntZ4jNPtRAmQ1qiSasqGc8xURjcOz2b2nkVUesE48nSkxwTcAqLedxQlQ/CWPnA5kLfLA==" saltValue="kMui8cJo4b6/kmNEytrCw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69" priority="2" operator="equal">
      <formula>"F"</formula>
    </cfRule>
    <cfRule type="cellIs" dxfId="68" priority="3" operator="equal">
      <formula>"P"</formula>
    </cfRule>
    <cfRule type="cellIs" dxfId="67" priority="4" operator="equal">
      <formula>"C"</formula>
    </cfRule>
    <cfRule type="cellIs" dxfId="66" priority="5" operator="equal">
      <formula>"A"</formula>
    </cfRule>
  </conditionalFormatting>
  <conditionalFormatting sqref="K21:K39">
    <cfRule type="cellIs" dxfId="6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A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A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K54"/>
  <sheetViews>
    <sheetView workbookViewId="0">
      <selection activeCell="M7" sqref="M7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(sheet1!B18)</f>
        <v>HAMMED OLAMIDE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24.235294117647058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22nd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54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53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104</v>
      </c>
      <c r="E17" s="8"/>
      <c r="F17" s="9"/>
      <c r="G17" s="92"/>
      <c r="H17" s="19" t="s">
        <v>34</v>
      </c>
      <c r="I17" s="15"/>
      <c r="J17" s="22" t="s">
        <v>53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54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5</v>
      </c>
      <c r="J21" s="47">
        <f>SUM(H21:I21)</f>
        <v>33</v>
      </c>
      <c r="K21" s="47" t="str">
        <f>IF(J21&gt;=70,"A",IF(J21&gt;=50,"C",IF(J21&gt;=40,"P","F")))</f>
        <v>F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17</v>
      </c>
      <c r="I22" s="47">
        <f>VLOOKUP(C9,sheet1!B9:AN48,5,FALSE)</f>
        <v>5</v>
      </c>
      <c r="J22" s="47">
        <f t="shared" ref="J22:J39" si="0">SUM(H22:I22)</f>
        <v>22</v>
      </c>
      <c r="K22" s="47" t="str">
        <f t="shared" ref="K22:K39" si="1">IF(J22&gt;=70,"A",IF(J22&gt;=50,"C",IF(J22&gt;=40,"P","F")))</f>
        <v>F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26</v>
      </c>
      <c r="I23" s="47">
        <f>VLOOKUP(C9,sheet1!B9:AN48,7,FALSE)</f>
        <v>5</v>
      </c>
      <c r="J23" s="47">
        <f t="shared" si="0"/>
        <v>31</v>
      </c>
      <c r="K23" s="47" t="str">
        <f t="shared" si="1"/>
        <v>F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14</v>
      </c>
      <c r="I24" s="47">
        <f>VLOOKUP(C9,sheet1!B9:AN48,9,FALSE)</f>
        <v>15</v>
      </c>
      <c r="J24" s="47">
        <f t="shared" si="0"/>
        <v>29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10</v>
      </c>
      <c r="I25" s="47">
        <f>VLOOKUP(C9,sheet1!B9:AN48,11,FALSE)</f>
        <v>20</v>
      </c>
      <c r="J25" s="47">
        <f t="shared" si="0"/>
        <v>30</v>
      </c>
      <c r="K25" s="47" t="str">
        <f t="shared" si="1"/>
        <v>F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14</v>
      </c>
      <c r="I26" s="47">
        <f>VLOOKUP(C9,sheet1!B9:AN48,13,FALSE)</f>
        <v>10</v>
      </c>
      <c r="J26" s="47">
        <f t="shared" si="0"/>
        <v>24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18</v>
      </c>
      <c r="I27" s="47">
        <f>VLOOKUP(C9,sheet1!B9:AN48,15,FALSE)</f>
        <v>16</v>
      </c>
      <c r="J27" s="47">
        <f t="shared" si="0"/>
        <v>34</v>
      </c>
      <c r="K27" s="47" t="str">
        <f t="shared" si="1"/>
        <v>F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17</v>
      </c>
      <c r="I28" s="47">
        <f>VLOOKUP(C9,sheet1!B9:AN48,17,FALSE)</f>
        <v>9</v>
      </c>
      <c r="J28" s="47">
        <f t="shared" si="0"/>
        <v>26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15</v>
      </c>
      <c r="I30" s="47">
        <f>VLOOKUP(C9,sheet1!B9:AN48,21,FALSE)</f>
        <v>2</v>
      </c>
      <c r="J30" s="47">
        <f t="shared" si="0"/>
        <v>17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17</v>
      </c>
      <c r="I31" s="47">
        <f>VLOOKUP(C9,sheet1!B9:AN48,23,FALSE)</f>
        <v>1</v>
      </c>
      <c r="J31" s="47">
        <f t="shared" si="0"/>
        <v>18</v>
      </c>
      <c r="K31" s="47" t="str">
        <f t="shared" si="1"/>
        <v>F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20</v>
      </c>
      <c r="J32" s="47">
        <f t="shared" si="0"/>
        <v>40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11</v>
      </c>
      <c r="I34" s="47">
        <f>VLOOKUP(C9,sheet1!B9:AN48,29,FALSE)</f>
        <v>2</v>
      </c>
      <c r="J34" s="47">
        <f t="shared" si="0"/>
        <v>13</v>
      </c>
      <c r="K34" s="47" t="str">
        <f t="shared" si="1"/>
        <v>F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15</v>
      </c>
      <c r="I35" s="47">
        <f>VLOOKUP(C9,sheet1!B9:AN48,31,FALSE)</f>
        <v>5</v>
      </c>
      <c r="J35" s="47">
        <f t="shared" si="0"/>
        <v>20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30</v>
      </c>
      <c r="I36" s="47">
        <f>VLOOKUP(C9,sheet1!B9:AN48,33,FALSE)</f>
        <v>1</v>
      </c>
      <c r="J36" s="47">
        <f t="shared" si="0"/>
        <v>31</v>
      </c>
      <c r="K36" s="47" t="str">
        <f t="shared" si="1"/>
        <v>F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12</v>
      </c>
      <c r="I37" s="47">
        <f>VLOOKUP(C9,sheet1!B9:AN48,35,FALSE)</f>
        <v>5</v>
      </c>
      <c r="J37" s="47">
        <f t="shared" si="0"/>
        <v>17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8</v>
      </c>
      <c r="I38" s="47">
        <f>VLOOKUP(C9,sheet1!B9:AN48,37,FALSE)</f>
        <v>9</v>
      </c>
      <c r="J38" s="47">
        <f t="shared" si="0"/>
        <v>17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9</v>
      </c>
      <c r="I39" s="47">
        <f>VLOOKUP(C9,sheet1!B9:AN48,39,FALSE)</f>
        <v>1</v>
      </c>
      <c r="J39" s="47">
        <f t="shared" si="0"/>
        <v>10</v>
      </c>
      <c r="K39" s="47" t="str">
        <f t="shared" si="1"/>
        <v>F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104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IHJ5QAWf7ImP9MfC4+ExBLMNuoOZtMAyE1oYLupNDN0XGTuHi9t/H52bdWzXeER8Scu8wAbRIUw2ALYFblkVEw==" saltValue="fq3q3Mzl97JGRYhel/+Gp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64" priority="2" operator="equal">
      <formula>"F"</formula>
    </cfRule>
    <cfRule type="cellIs" dxfId="63" priority="3" operator="equal">
      <formula>"P"</formula>
    </cfRule>
    <cfRule type="cellIs" dxfId="62" priority="4" operator="equal">
      <formula>"C"</formula>
    </cfRule>
    <cfRule type="cellIs" dxfId="61" priority="5" operator="equal">
      <formula>"A"</formula>
    </cfRule>
  </conditionalFormatting>
  <conditionalFormatting sqref="K21:K39">
    <cfRule type="cellIs" dxfId="6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B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B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K54"/>
  <sheetViews>
    <sheetView workbookViewId="0">
      <selection activeCell="N10" sqref="N10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(sheet1!B19)</f>
        <v>HAMZAT AKOREDE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33.529411764705884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21st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56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116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54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27</v>
      </c>
      <c r="J21" s="47">
        <f>SUM(H21:I21)</f>
        <v>55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18</v>
      </c>
      <c r="I22" s="47">
        <f>VLOOKUP(C9,sheet1!B9:AN48,5,FALSE)</f>
        <v>2</v>
      </c>
      <c r="J22" s="47">
        <f t="shared" ref="J22:J39" si="0">SUM(H22:I22)</f>
        <v>20</v>
      </c>
      <c r="K22" s="47" t="str">
        <f t="shared" ref="K22:K39" si="1">IF(J22&gt;=70,"A",IF(J22&gt;=50,"C",IF(J22&gt;=40,"P","F")))</f>
        <v>F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25</v>
      </c>
      <c r="I23" s="47">
        <f>VLOOKUP(C9,sheet1!B9:AN48,7,FALSE)</f>
        <v>18</v>
      </c>
      <c r="J23" s="47">
        <f t="shared" si="0"/>
        <v>43</v>
      </c>
      <c r="K23" s="47" t="str">
        <f t="shared" si="1"/>
        <v>P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14</v>
      </c>
      <c r="I24" s="47">
        <f>VLOOKUP(C9,sheet1!B9:AN48,9,FALSE)</f>
        <v>15</v>
      </c>
      <c r="J24" s="47">
        <f t="shared" si="0"/>
        <v>29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18</v>
      </c>
      <c r="I26" s="47">
        <f>VLOOKUP(C9,sheet1!B9:AN48,13,FALSE)</f>
        <v>10</v>
      </c>
      <c r="J26" s="47">
        <f t="shared" si="0"/>
        <v>28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18</v>
      </c>
      <c r="I27" s="47">
        <f>VLOOKUP(C9,sheet1!B9:AN48,15,FALSE)</f>
        <v>11</v>
      </c>
      <c r="J27" s="47">
        <f t="shared" si="0"/>
        <v>29</v>
      </c>
      <c r="K27" s="47" t="str">
        <f t="shared" si="1"/>
        <v>F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18</v>
      </c>
      <c r="I28" s="47">
        <f>VLOOKUP(C9,sheet1!B9:AN48,17,FALSE)</f>
        <v>15</v>
      </c>
      <c r="J28" s="47">
        <f t="shared" si="0"/>
        <v>33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17</v>
      </c>
      <c r="I30" s="47">
        <f>VLOOKUP(C9,sheet1!B9:AN48,21,FALSE)</f>
        <v>7</v>
      </c>
      <c r="J30" s="47">
        <f t="shared" si="0"/>
        <v>24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22</v>
      </c>
      <c r="I31" s="47">
        <f>VLOOKUP(C9,sheet1!B9:AN48,23,FALSE)</f>
        <v>15</v>
      </c>
      <c r="J31" s="47">
        <f t="shared" si="0"/>
        <v>37</v>
      </c>
      <c r="K31" s="47" t="str">
        <f t="shared" si="1"/>
        <v>F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25</v>
      </c>
      <c r="J32" s="47">
        <f t="shared" si="0"/>
        <v>45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14</v>
      </c>
      <c r="I34" s="47">
        <f>VLOOKUP(C9,sheet1!B9:AN48,29,FALSE)</f>
        <v>12</v>
      </c>
      <c r="J34" s="47">
        <f t="shared" si="0"/>
        <v>26</v>
      </c>
      <c r="K34" s="47" t="str">
        <f t="shared" si="1"/>
        <v>F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18</v>
      </c>
      <c r="I35" s="47">
        <f>VLOOKUP(C9,sheet1!B9:AN48,31,FALSE)</f>
        <v>5</v>
      </c>
      <c r="J35" s="47">
        <f t="shared" si="0"/>
        <v>23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30</v>
      </c>
      <c r="I36" s="47">
        <f>VLOOKUP(C9,sheet1!B9:AN48,33,FALSE)</f>
        <v>7</v>
      </c>
      <c r="J36" s="47">
        <f t="shared" si="0"/>
        <v>37</v>
      </c>
      <c r="K36" s="47" t="str">
        <f t="shared" si="1"/>
        <v>F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15</v>
      </c>
      <c r="I37" s="47">
        <f>VLOOKUP(C9,sheet1!B9:AN48,35,FALSE)</f>
        <v>5</v>
      </c>
      <c r="J37" s="47">
        <f t="shared" si="0"/>
        <v>20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20</v>
      </c>
      <c r="I38" s="47">
        <f>VLOOKUP(C9,sheet1!B9:AN48,37,FALSE)</f>
        <v>15</v>
      </c>
      <c r="J38" s="47">
        <f t="shared" si="0"/>
        <v>35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19</v>
      </c>
      <c r="I39" s="47">
        <f>VLOOKUP(C9,sheet1!B9:AN48,39,FALSE)</f>
        <v>27</v>
      </c>
      <c r="J39" s="47">
        <f t="shared" si="0"/>
        <v>46</v>
      </c>
      <c r="K39" s="47" t="str">
        <f t="shared" si="1"/>
        <v>P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162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108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SIwfcEZs9tkEg9yWKFa52CpUc45rI/TMAaCHRBX5wLTsqY96fktsFtyjuSsieQXRCDc92r1atl7mftoa2OHNIQ==" saltValue="GjTT1u+S0CDcrKSz67zl9g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59" priority="2" operator="equal">
      <formula>"F"</formula>
    </cfRule>
    <cfRule type="cellIs" dxfId="58" priority="3" operator="equal">
      <formula>"P"</formula>
    </cfRule>
    <cfRule type="cellIs" dxfId="57" priority="4" operator="equal">
      <formula>"C"</formula>
    </cfRule>
    <cfRule type="cellIs" dxfId="56" priority="5" operator="equal">
      <formula>"A"</formula>
    </cfRule>
  </conditionalFormatting>
  <conditionalFormatting sqref="K21:K39">
    <cfRule type="cellIs" dxfId="5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C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C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K54"/>
  <sheetViews>
    <sheetView workbookViewId="0">
      <selection activeCell="A11" sqref="A11:B11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(sheet1!B20)</f>
        <v>JAMES DIVINE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37.882352941176471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17th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122</v>
      </c>
      <c r="E17" s="8"/>
      <c r="F17" s="9"/>
      <c r="G17" s="92"/>
      <c r="H17" s="19" t="s">
        <v>34</v>
      </c>
      <c r="I17" s="15"/>
      <c r="J17" s="22" t="s">
        <v>53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28</v>
      </c>
      <c r="J21" s="47">
        <f>SUM(H21:I21)</f>
        <v>56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19</v>
      </c>
      <c r="I22" s="47">
        <f>VLOOKUP(C9,sheet1!B9:AN48,5,FALSE)</f>
        <v>14</v>
      </c>
      <c r="J22" s="47">
        <f t="shared" ref="J22:J39" si="0">SUM(H22:I22)</f>
        <v>33</v>
      </c>
      <c r="K22" s="47" t="str">
        <f t="shared" ref="K22:K39" si="1">IF(J22&gt;=70,"A",IF(J22&gt;=50,"C",IF(J22&gt;=40,"P","F")))</f>
        <v>F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27</v>
      </c>
      <c r="I23" s="47">
        <f>VLOOKUP(C9,sheet1!B9:AN48,7,FALSE)</f>
        <v>7</v>
      </c>
      <c r="J23" s="47">
        <f t="shared" si="0"/>
        <v>34</v>
      </c>
      <c r="K23" s="47" t="str">
        <f t="shared" si="1"/>
        <v>F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16</v>
      </c>
      <c r="I24" s="47">
        <f>VLOOKUP(C9,sheet1!B9:AN48,9,FALSE)</f>
        <v>24</v>
      </c>
      <c r="J24" s="47">
        <f t="shared" si="0"/>
        <v>40</v>
      </c>
      <c r="K24" s="47" t="str">
        <f t="shared" si="1"/>
        <v>P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19</v>
      </c>
      <c r="I26" s="47">
        <f>VLOOKUP(C9,sheet1!B9:AN48,13,FALSE)</f>
        <v>12</v>
      </c>
      <c r="J26" s="47">
        <f t="shared" si="0"/>
        <v>31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18</v>
      </c>
      <c r="I27" s="47">
        <f>VLOOKUP(C9,sheet1!B9:AN48,15,FALSE)</f>
        <v>24</v>
      </c>
      <c r="J27" s="47">
        <f t="shared" si="0"/>
        <v>42</v>
      </c>
      <c r="K27" s="47" t="str">
        <f t="shared" si="1"/>
        <v>P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21</v>
      </c>
      <c r="I28" s="47">
        <f>VLOOKUP(C9,sheet1!B9:AN48,17,FALSE)</f>
        <v>10</v>
      </c>
      <c r="J28" s="47">
        <f t="shared" si="0"/>
        <v>31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16</v>
      </c>
      <c r="I30" s="47">
        <f>VLOOKUP(C9,sheet1!B9:AN48,21,FALSE)</f>
        <v>4</v>
      </c>
      <c r="J30" s="47">
        <f t="shared" si="0"/>
        <v>20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21</v>
      </c>
      <c r="I31" s="47">
        <f>VLOOKUP(C9,sheet1!B9:AN48,23,FALSE)</f>
        <v>13</v>
      </c>
      <c r="J31" s="47">
        <f t="shared" si="0"/>
        <v>34</v>
      </c>
      <c r="K31" s="47" t="str">
        <f t="shared" si="1"/>
        <v>F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25</v>
      </c>
      <c r="J32" s="47">
        <f t="shared" si="0"/>
        <v>50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14</v>
      </c>
      <c r="I34" s="47">
        <f>VLOOKUP(C9,sheet1!B9:AN48,29,FALSE)</f>
        <v>23</v>
      </c>
      <c r="J34" s="47">
        <f t="shared" si="0"/>
        <v>37</v>
      </c>
      <c r="K34" s="47" t="str">
        <f t="shared" si="1"/>
        <v>F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18</v>
      </c>
      <c r="I35" s="47">
        <f>VLOOKUP(C9,sheet1!B9:AN48,31,FALSE)</f>
        <v>18</v>
      </c>
      <c r="J35" s="47">
        <f t="shared" si="0"/>
        <v>36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30</v>
      </c>
      <c r="I36" s="47">
        <f>VLOOKUP(C9,sheet1!B9:AN48,33,FALSE)</f>
        <v>10</v>
      </c>
      <c r="J36" s="47">
        <f t="shared" si="0"/>
        <v>40</v>
      </c>
      <c r="K36" s="47" t="str">
        <f t="shared" si="1"/>
        <v>P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16</v>
      </c>
      <c r="I37" s="47">
        <f>VLOOKUP(C9,sheet1!B9:AN48,35,FALSE)</f>
        <v>7</v>
      </c>
      <c r="J37" s="47">
        <f t="shared" si="0"/>
        <v>23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22</v>
      </c>
      <c r="I38" s="47">
        <f>VLOOKUP(C9,sheet1!B9:AN48,37,FALSE)</f>
        <v>23</v>
      </c>
      <c r="J38" s="47">
        <f t="shared" si="0"/>
        <v>45</v>
      </c>
      <c r="K38" s="47" t="str">
        <f t="shared" si="1"/>
        <v>P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14</v>
      </c>
      <c r="I39" s="47">
        <f>VLOOKUP(C9,sheet1!B9:AN48,39,FALSE)</f>
        <v>38</v>
      </c>
      <c r="J39" s="47">
        <f t="shared" si="0"/>
        <v>52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182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102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8N0d2nUEchlP31HS5feEielavy/X3o4sziVsbEBODGx6woe/TItC/MCz7hUU9he6IwUJF1b4HVXrxhaYgvJk4A==" saltValue="r9c7t/AjmsE8cFVrUB+0e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54" priority="2" operator="equal">
      <formula>"F"</formula>
    </cfRule>
    <cfRule type="cellIs" dxfId="53" priority="3" operator="equal">
      <formula>"P"</formula>
    </cfRule>
    <cfRule type="cellIs" dxfId="52" priority="4" operator="equal">
      <formula>"C"</formula>
    </cfRule>
    <cfRule type="cellIs" dxfId="51" priority="5" operator="equal">
      <formula>"A"</formula>
    </cfRule>
  </conditionalFormatting>
  <conditionalFormatting sqref="K21:K39">
    <cfRule type="cellIs" dxfId="5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D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D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K54"/>
  <sheetViews>
    <sheetView workbookViewId="0">
      <selection activeCell="H10" sqref="H10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(sheet1!B21)</f>
        <v>JOEL JOSHUA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51.352941176470587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10th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110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36</v>
      </c>
      <c r="J21" s="47">
        <f>SUM(H21:I21)</f>
        <v>64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20</v>
      </c>
      <c r="I22" s="47">
        <f>VLOOKUP(C9,sheet1!B9:AN48,5,FALSE)</f>
        <v>39</v>
      </c>
      <c r="J22" s="47">
        <f t="shared" ref="J22:J39" si="0">SUM(H22:I22)</f>
        <v>59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26</v>
      </c>
      <c r="I23" s="47">
        <f>VLOOKUP(C9,sheet1!B9:AN48,7,FALSE)</f>
        <v>15</v>
      </c>
      <c r="J23" s="47">
        <f t="shared" si="0"/>
        <v>41</v>
      </c>
      <c r="K23" s="47" t="str">
        <f t="shared" si="1"/>
        <v>P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14</v>
      </c>
      <c r="I24" s="47">
        <f>VLOOKUP(C9,sheet1!B9:AN48,9,FALSE)</f>
        <v>35</v>
      </c>
      <c r="J24" s="47">
        <f t="shared" si="0"/>
        <v>49</v>
      </c>
      <c r="K24" s="47" t="str">
        <f t="shared" si="1"/>
        <v>P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29</v>
      </c>
      <c r="I25" s="47">
        <f>VLOOKUP(C9,sheet1!B9:AN48,11,FALSE)</f>
        <v>53</v>
      </c>
      <c r="J25" s="47">
        <f t="shared" si="0"/>
        <v>82</v>
      </c>
      <c r="K25" s="47" t="str">
        <f t="shared" si="1"/>
        <v>A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15</v>
      </c>
      <c r="J26" s="47">
        <f t="shared" si="0"/>
        <v>32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20</v>
      </c>
      <c r="I27" s="47">
        <f>VLOOKUP(C9,sheet1!B9:AN48,15,FALSE)</f>
        <v>45</v>
      </c>
      <c r="J27" s="47">
        <f t="shared" si="0"/>
        <v>65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19</v>
      </c>
      <c r="I28" s="47">
        <f>VLOOKUP(C9,sheet1!B9:AN48,17,FALSE)</f>
        <v>13</v>
      </c>
      <c r="J28" s="47">
        <f t="shared" si="0"/>
        <v>32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18</v>
      </c>
      <c r="I30" s="47">
        <f>VLOOKUP(C9,sheet1!B9:AN48,21,FALSE)</f>
        <v>22</v>
      </c>
      <c r="J30" s="47">
        <f t="shared" si="0"/>
        <v>40</v>
      </c>
      <c r="K30" s="47" t="str">
        <f t="shared" si="1"/>
        <v>P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26</v>
      </c>
      <c r="I31" s="47">
        <f>VLOOKUP(C9,sheet1!B9:AN48,23,FALSE)</f>
        <v>32</v>
      </c>
      <c r="J31" s="47">
        <f t="shared" si="0"/>
        <v>58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35</v>
      </c>
      <c r="J32" s="47">
        <f t="shared" si="0"/>
        <v>60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18</v>
      </c>
      <c r="I34" s="47">
        <f>VLOOKUP(C9,sheet1!B9:AN48,29,FALSE)</f>
        <v>35</v>
      </c>
      <c r="J34" s="47">
        <f t="shared" si="0"/>
        <v>53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17</v>
      </c>
      <c r="I35" s="47">
        <f>VLOOKUP(C9,sheet1!B9:AN48,31,FALSE)</f>
        <v>37</v>
      </c>
      <c r="J35" s="47">
        <f t="shared" si="0"/>
        <v>54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22</v>
      </c>
      <c r="J36" s="47">
        <f t="shared" si="0"/>
        <v>51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16</v>
      </c>
      <c r="I37" s="47">
        <f>VLOOKUP(C9,sheet1!B9:AN48,35,FALSE)</f>
        <v>15</v>
      </c>
      <c r="J37" s="47">
        <f t="shared" si="0"/>
        <v>31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23</v>
      </c>
      <c r="I38" s="47">
        <f>VLOOKUP(C9,sheet1!B9:AN48,37,FALSE)</f>
        <v>25</v>
      </c>
      <c r="J38" s="47">
        <f t="shared" si="0"/>
        <v>48</v>
      </c>
      <c r="K38" s="47" t="str">
        <f t="shared" si="1"/>
        <v>P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19</v>
      </c>
      <c r="I39" s="47">
        <f>VLOOKUP(C9,sheet1!B9:AN48,39,FALSE)</f>
        <v>35</v>
      </c>
      <c r="J39" s="47">
        <f t="shared" si="0"/>
        <v>54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176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102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vC1vPV6A/mQ0p30GX6pUPQ6S173VcWXKnqXFx9ZTkKNtNfPalF344vsV3X5uemeFDl1uT4jYmSZsLKbyPLdq1Q==" saltValue="ochlagVrhTglcphBcaVZ2Q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49" priority="2" operator="equal">
      <formula>"F"</formula>
    </cfRule>
    <cfRule type="cellIs" dxfId="48" priority="3" operator="equal">
      <formula>"P"</formula>
    </cfRule>
    <cfRule type="cellIs" dxfId="47" priority="4" operator="equal">
      <formula>"C"</formula>
    </cfRule>
    <cfRule type="cellIs" dxfId="46" priority="5" operator="equal">
      <formula>"A"</formula>
    </cfRule>
  </conditionalFormatting>
  <conditionalFormatting sqref="K21:K39">
    <cfRule type="cellIs" dxfId="4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E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E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K54"/>
  <sheetViews>
    <sheetView workbookViewId="0">
      <selection activeCell="N12" sqref="N12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(sheet1!B22)</f>
        <v>JOSIAH SUNDAY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50.176470588235297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11th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116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52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36</v>
      </c>
      <c r="J21" s="47">
        <f>SUM(H21:I21)</f>
        <v>64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27</v>
      </c>
      <c r="I22" s="47">
        <f>VLOOKUP(C9,sheet1!B9:AN48,5,FALSE)</f>
        <v>56</v>
      </c>
      <c r="J22" s="47">
        <f t="shared" ref="J22:J39" si="0">SUM(H22:I22)</f>
        <v>83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25</v>
      </c>
      <c r="I23" s="47">
        <f>VLOOKUP(C9,sheet1!B9:AN48,7,FALSE)</f>
        <v>29</v>
      </c>
      <c r="J23" s="47">
        <f t="shared" si="0"/>
        <v>54</v>
      </c>
      <c r="K23" s="47" t="str">
        <f t="shared" si="1"/>
        <v>C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17</v>
      </c>
      <c r="I24" s="47">
        <f>VLOOKUP(C9,sheet1!B9:AN48,9,FALSE)</f>
        <v>30</v>
      </c>
      <c r="J24" s="47">
        <f t="shared" si="0"/>
        <v>47</v>
      </c>
      <c r="K24" s="47" t="str">
        <f t="shared" si="1"/>
        <v>P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21</v>
      </c>
      <c r="I25" s="47">
        <f>VLOOKUP(C9,sheet1!B9:AN48,11,FALSE)</f>
        <v>34</v>
      </c>
      <c r="J25" s="47">
        <f t="shared" si="0"/>
        <v>55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18</v>
      </c>
      <c r="I26" s="47">
        <f>VLOOKUP(C9,sheet1!B9:AN48,13,FALSE)</f>
        <v>12</v>
      </c>
      <c r="J26" s="47">
        <f t="shared" si="0"/>
        <v>30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22</v>
      </c>
      <c r="I27" s="47">
        <f>VLOOKUP(C9,sheet1!B9:AN48,15,FALSE)</f>
        <v>28</v>
      </c>
      <c r="J27" s="47">
        <f t="shared" si="0"/>
        <v>50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22</v>
      </c>
      <c r="I28" s="47">
        <f>VLOOKUP(C9,sheet1!B9:AN48,17,FALSE)</f>
        <v>21</v>
      </c>
      <c r="J28" s="47">
        <f t="shared" si="0"/>
        <v>43</v>
      </c>
      <c r="K28" s="47" t="str">
        <f t="shared" si="1"/>
        <v>P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20</v>
      </c>
      <c r="I30" s="47">
        <f>VLOOKUP(C9,sheet1!B9:AN48,21,FALSE)</f>
        <v>12</v>
      </c>
      <c r="J30" s="47">
        <f t="shared" si="0"/>
        <v>32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27</v>
      </c>
      <c r="I31" s="47">
        <f>VLOOKUP(C9,sheet1!B9:AN48,23,FALSE)</f>
        <v>33</v>
      </c>
      <c r="J31" s="47">
        <f t="shared" si="0"/>
        <v>60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26</v>
      </c>
      <c r="I32" s="47">
        <f>VLOOKUP(C9,sheet1!B9:AN48,25,FALSE)</f>
        <v>30</v>
      </c>
      <c r="J32" s="47">
        <f t="shared" si="0"/>
        <v>56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16</v>
      </c>
      <c r="I34" s="47">
        <f>VLOOKUP(C9,sheet1!B9:AN48,29,FALSE)</f>
        <v>24</v>
      </c>
      <c r="J34" s="47">
        <f t="shared" si="0"/>
        <v>40</v>
      </c>
      <c r="K34" s="47" t="str">
        <f t="shared" si="1"/>
        <v>P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19</v>
      </c>
      <c r="I35" s="47">
        <f>VLOOKUP(C9,sheet1!B9:AN48,31,FALSE)</f>
        <v>40</v>
      </c>
      <c r="J35" s="47">
        <f t="shared" si="0"/>
        <v>59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28</v>
      </c>
      <c r="I36" s="47">
        <f>VLOOKUP(C9,sheet1!B9:AN48,33,FALSE)</f>
        <v>18</v>
      </c>
      <c r="J36" s="47">
        <f t="shared" si="0"/>
        <v>46</v>
      </c>
      <c r="K36" s="47" t="str">
        <f t="shared" si="1"/>
        <v>P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17</v>
      </c>
      <c r="I37" s="47">
        <f>VLOOKUP(C9,sheet1!B9:AN48,35,FALSE)</f>
        <v>15</v>
      </c>
      <c r="J37" s="47">
        <f t="shared" si="0"/>
        <v>32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21</v>
      </c>
      <c r="I38" s="47">
        <f>VLOOKUP(C9,sheet1!B9:AN48,37,FALSE)</f>
        <v>19</v>
      </c>
      <c r="J38" s="47">
        <f t="shared" si="0"/>
        <v>40</v>
      </c>
      <c r="K38" s="47" t="str">
        <f t="shared" si="1"/>
        <v>P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21</v>
      </c>
      <c r="I39" s="47">
        <f>VLOOKUP(C9,sheet1!B9:AN48,39,FALSE)</f>
        <v>41</v>
      </c>
      <c r="J39" s="47">
        <f t="shared" si="0"/>
        <v>62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168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103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roAGNRiTmvSD/H87h2LrT4Lh2Y/8CCuv03fpXWRvWqwrsGST+BaYz7T/knY6xBwcE9Haxvqj22+ZaXqox8if4g==" saltValue="MLmX0SEMPyCljYhPxbrj/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44" priority="2" operator="equal">
      <formula>"F"</formula>
    </cfRule>
    <cfRule type="cellIs" dxfId="43" priority="3" operator="equal">
      <formula>"P"</formula>
    </cfRule>
    <cfRule type="cellIs" dxfId="42" priority="4" operator="equal">
      <formula>"C"</formula>
    </cfRule>
    <cfRule type="cellIs" dxfId="41" priority="5" operator="equal">
      <formula>"A"</formula>
    </cfRule>
  </conditionalFormatting>
  <conditionalFormatting sqref="K21:K39">
    <cfRule type="cellIs" dxfId="4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0F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0F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K54"/>
  <sheetViews>
    <sheetView workbookViewId="0">
      <selection activeCell="M15" sqref="M15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(sheet1!B23)</f>
        <v>KUFRE GOODNEWS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37.176470588235297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18th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118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21</v>
      </c>
      <c r="J21" s="47">
        <f>SUM(H21:I21)</f>
        <v>49</v>
      </c>
      <c r="K21" s="47" t="str">
        <f>IF(J21&gt;=70,"A",IF(J21&gt;=50,"C",IF(J21&gt;=40,"P","F")))</f>
        <v>P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21</v>
      </c>
      <c r="I22" s="47">
        <f>VLOOKUP(C9,sheet1!B9:AN48,5,FALSE)</f>
        <v>29</v>
      </c>
      <c r="J22" s="47">
        <f t="shared" ref="J22:J39" si="0">SUM(H22:I22)</f>
        <v>50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20</v>
      </c>
      <c r="I23" s="47">
        <f>VLOOKUP(C9,sheet1!B9:AN48,7,FALSE)</f>
        <v>5</v>
      </c>
      <c r="J23" s="47">
        <f t="shared" si="0"/>
        <v>25</v>
      </c>
      <c r="K23" s="47" t="str">
        <f t="shared" si="1"/>
        <v>F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16</v>
      </c>
      <c r="I24" s="47">
        <f>VLOOKUP(C9,sheet1!B9:AN48,9,FALSE)</f>
        <v>20</v>
      </c>
      <c r="J24" s="47">
        <f t="shared" si="0"/>
        <v>36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12</v>
      </c>
      <c r="J26" s="47">
        <f t="shared" si="0"/>
        <v>29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18</v>
      </c>
      <c r="I27" s="47">
        <f>VLOOKUP(C9,sheet1!B9:AN48,15,FALSE)</f>
        <v>16</v>
      </c>
      <c r="J27" s="47">
        <f t="shared" si="0"/>
        <v>34</v>
      </c>
      <c r="K27" s="47" t="str">
        <f t="shared" si="1"/>
        <v>F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20</v>
      </c>
      <c r="I28" s="47">
        <f>VLOOKUP(C9,sheet1!B9:AN48,17,FALSE)</f>
        <v>20</v>
      </c>
      <c r="J28" s="47">
        <f t="shared" si="0"/>
        <v>40</v>
      </c>
      <c r="K28" s="47" t="str">
        <f t="shared" si="1"/>
        <v>P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13</v>
      </c>
      <c r="I30" s="47">
        <f>VLOOKUP(C9,sheet1!B9:AN48,21,FALSE)</f>
        <v>32</v>
      </c>
      <c r="J30" s="47">
        <f t="shared" si="0"/>
        <v>45</v>
      </c>
      <c r="K30" s="47" t="str">
        <f t="shared" si="1"/>
        <v>P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25</v>
      </c>
      <c r="I31" s="47">
        <f>VLOOKUP(C9,sheet1!B9:AN48,23,FALSE)</f>
        <v>26</v>
      </c>
      <c r="J31" s="47">
        <f t="shared" si="0"/>
        <v>51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28</v>
      </c>
      <c r="J32" s="47">
        <f t="shared" si="0"/>
        <v>48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16</v>
      </c>
      <c r="I34" s="47">
        <f>VLOOKUP(C9,sheet1!B9:AN48,29,FALSE)</f>
        <v>24</v>
      </c>
      <c r="J34" s="47">
        <f t="shared" si="0"/>
        <v>40</v>
      </c>
      <c r="K34" s="47" t="str">
        <f t="shared" si="1"/>
        <v>P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19</v>
      </c>
      <c r="I35" s="47">
        <f>VLOOKUP(C9,sheet1!B9:AN48,31,FALSE)</f>
        <v>10</v>
      </c>
      <c r="J35" s="47">
        <f t="shared" si="0"/>
        <v>29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0</v>
      </c>
      <c r="J36" s="47">
        <f t="shared" si="0"/>
        <v>29</v>
      </c>
      <c r="K36" s="47" t="str">
        <f t="shared" si="1"/>
        <v>F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13</v>
      </c>
      <c r="I37" s="47">
        <f>VLOOKUP(C9,sheet1!B9:AN48,35,FALSE)</f>
        <v>5</v>
      </c>
      <c r="J37" s="47">
        <f t="shared" si="0"/>
        <v>18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19</v>
      </c>
      <c r="I38" s="47">
        <f>VLOOKUP(C9,sheet1!B9:AN48,37,FALSE)</f>
        <v>8</v>
      </c>
      <c r="J38" s="47">
        <f t="shared" si="0"/>
        <v>27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25</v>
      </c>
      <c r="I39" s="47">
        <f>VLOOKUP(C9,sheet1!B9:AN48,39,FALSE)</f>
        <v>17</v>
      </c>
      <c r="J39" s="47">
        <f t="shared" si="0"/>
        <v>42</v>
      </c>
      <c r="K39" s="47" t="str">
        <f t="shared" si="1"/>
        <v>P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163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104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1c1ic6j8YVM+GldISLoLtFh4I6Gs0AGH6LsIXo90tP4lo9OOsgc5m4xOo5kDrC8Ll/2kgHsPFh60Ikdl25NAxg==" saltValue="CVQ3KhvzkLCfLXtptBcnP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39" priority="2" operator="equal">
      <formula>"F"</formula>
    </cfRule>
    <cfRule type="cellIs" dxfId="38" priority="3" operator="equal">
      <formula>"P"</formula>
    </cfRule>
    <cfRule type="cellIs" dxfId="37" priority="4" operator="equal">
      <formula>"C"</formula>
    </cfRule>
    <cfRule type="cellIs" dxfId="36" priority="5" operator="equal">
      <formula>"A"</formula>
    </cfRule>
  </conditionalFormatting>
  <conditionalFormatting sqref="K21:K39">
    <cfRule type="cellIs" dxfId="3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0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0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K54"/>
  <sheetViews>
    <sheetView workbookViewId="0">
      <selection activeCell="M8" sqref="M8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(sheet1!B24)</f>
        <v>NWABUEZE FAVOUR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65.941176470588232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4th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126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57</v>
      </c>
      <c r="J21" s="47">
        <f>SUM(H21:I21)</f>
        <v>85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25</v>
      </c>
      <c r="I22" s="47">
        <f>VLOOKUP(C9,sheet1!B9:AN48,5,FALSE)</f>
        <v>60</v>
      </c>
      <c r="J22" s="47">
        <f t="shared" ref="J22:J39" si="0">SUM(H22:I22)</f>
        <v>85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22</v>
      </c>
      <c r="I23" s="47">
        <f>VLOOKUP(C9,sheet1!B9:AN48,7,FALSE)</f>
        <v>39</v>
      </c>
      <c r="J23" s="47">
        <f t="shared" si="0"/>
        <v>61</v>
      </c>
      <c r="K23" s="47" t="str">
        <f t="shared" si="1"/>
        <v>C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19</v>
      </c>
      <c r="I24" s="47">
        <f>VLOOKUP(C9,sheet1!B9:AN48,9,FALSE)</f>
        <v>15</v>
      </c>
      <c r="J24" s="47">
        <f t="shared" si="0"/>
        <v>34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24</v>
      </c>
      <c r="I25" s="47">
        <f>VLOOKUP(C9,sheet1!B9:AN48,11,FALSE)</f>
        <v>40</v>
      </c>
      <c r="J25" s="47">
        <f t="shared" si="0"/>
        <v>64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23</v>
      </c>
      <c r="I26" s="47">
        <f>VLOOKUP(C9,sheet1!B9:AN48,13,FALSE)</f>
        <v>55</v>
      </c>
      <c r="J26" s="47">
        <f t="shared" si="0"/>
        <v>78</v>
      </c>
      <c r="K26" s="47" t="str">
        <f t="shared" si="1"/>
        <v>A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22</v>
      </c>
      <c r="I27" s="47">
        <f>VLOOKUP(C9,sheet1!B9:AN48,15,FALSE)</f>
        <v>43</v>
      </c>
      <c r="J27" s="47">
        <f t="shared" si="0"/>
        <v>65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29</v>
      </c>
      <c r="I28" s="47">
        <f>VLOOKUP(C9,sheet1!B9:AN48,17,FALSE)</f>
        <v>33</v>
      </c>
      <c r="J28" s="47">
        <f t="shared" si="0"/>
        <v>62</v>
      </c>
      <c r="K28" s="47" t="str">
        <f t="shared" si="1"/>
        <v>C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21</v>
      </c>
      <c r="I30" s="47">
        <f>VLOOKUP(C9,sheet1!B9:AN48,21,FALSE)</f>
        <v>46</v>
      </c>
      <c r="J30" s="47">
        <f t="shared" si="0"/>
        <v>67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29</v>
      </c>
      <c r="I31" s="47">
        <f>VLOOKUP(C9,sheet1!B9:AN48,23,FALSE)</f>
        <v>50</v>
      </c>
      <c r="J31" s="47">
        <f t="shared" si="0"/>
        <v>79</v>
      </c>
      <c r="K31" s="47" t="str">
        <f t="shared" si="1"/>
        <v>A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40</v>
      </c>
      <c r="J32" s="47">
        <f t="shared" si="0"/>
        <v>65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20</v>
      </c>
      <c r="I34" s="47">
        <f>VLOOKUP(C9,sheet1!B9:AN48,29,FALSE)</f>
        <v>52</v>
      </c>
      <c r="J34" s="47">
        <f t="shared" si="0"/>
        <v>72</v>
      </c>
      <c r="K34" s="47" t="str">
        <f t="shared" si="1"/>
        <v>A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12</v>
      </c>
      <c r="I35" s="47">
        <f>VLOOKUP(C9,sheet1!B9:AN48,31,FALSE)</f>
        <v>58</v>
      </c>
      <c r="J35" s="47">
        <f t="shared" si="0"/>
        <v>70</v>
      </c>
      <c r="K35" s="47" t="str">
        <f t="shared" si="1"/>
        <v>A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27</v>
      </c>
      <c r="I36" s="47">
        <f>VLOOKUP(C9,sheet1!B9:AN48,33,FALSE)</f>
        <v>30</v>
      </c>
      <c r="J36" s="47">
        <f t="shared" si="0"/>
        <v>57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16</v>
      </c>
      <c r="I37" s="47">
        <f>VLOOKUP(C9,sheet1!B9:AN48,35,FALSE)</f>
        <v>17</v>
      </c>
      <c r="J37" s="47">
        <f t="shared" si="0"/>
        <v>33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21</v>
      </c>
      <c r="I38" s="47">
        <f>VLOOKUP(C9,sheet1!B9:AN48,37,FALSE)</f>
        <v>47</v>
      </c>
      <c r="J38" s="47">
        <f t="shared" si="0"/>
        <v>68</v>
      </c>
      <c r="K38" s="47" t="str">
        <f t="shared" si="1"/>
        <v>C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24</v>
      </c>
      <c r="I39" s="47">
        <f>VLOOKUP(C9,sheet1!B9:AN48,39,FALSE)</f>
        <v>52</v>
      </c>
      <c r="J39" s="47">
        <f t="shared" si="0"/>
        <v>76</v>
      </c>
      <c r="K39" s="47" t="str">
        <f t="shared" si="1"/>
        <v>A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84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103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Q1ret9G2nk3vSPTERZyb7+44gHZi3EG68uhYdBMPkpiavULbwBc91SxOkOAGuKaO5eSBq2TqWDVBgfEoil2iZA==" saltValue="3OQF8oaS2MRcF1OoMbd3U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34" priority="2" operator="equal">
      <formula>"F"</formula>
    </cfRule>
    <cfRule type="cellIs" dxfId="33" priority="3" operator="equal">
      <formula>"P"</formula>
    </cfRule>
    <cfRule type="cellIs" dxfId="32" priority="4" operator="equal">
      <formula>"C"</formula>
    </cfRule>
    <cfRule type="cellIs" dxfId="31" priority="5" operator="equal">
      <formula>"A"</formula>
    </cfRule>
  </conditionalFormatting>
  <conditionalFormatting sqref="K21:K39">
    <cfRule type="cellIs" dxfId="3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1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1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K55"/>
  <sheetViews>
    <sheetView workbookViewId="0">
      <selection activeCell="H7" sqref="H7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(sheet1!B25)</f>
        <v>NWABUEZE VICTOR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47.176470588235297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15th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53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116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26</v>
      </c>
      <c r="J21" s="47">
        <f>SUM(H21:I21)</f>
        <v>54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28</v>
      </c>
      <c r="I22" s="47">
        <f>VLOOKUP(C9,sheet1!B9:AN48,5,FALSE)</f>
        <v>45</v>
      </c>
      <c r="J22" s="47">
        <f t="shared" ref="J22:J39" si="0">SUM(H22:I22)</f>
        <v>73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23</v>
      </c>
      <c r="I23" s="47">
        <f>VLOOKUP(C9,sheet1!B9:AN48,7,FALSE)</f>
        <v>39</v>
      </c>
      <c r="J23" s="47">
        <f t="shared" si="0"/>
        <v>62</v>
      </c>
      <c r="K23" s="47" t="str">
        <f t="shared" si="1"/>
        <v>C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20</v>
      </c>
      <c r="I24" s="47">
        <f>VLOOKUP(C9,sheet1!B9:AN48,9,FALSE)</f>
        <v>38</v>
      </c>
      <c r="J24" s="47">
        <f t="shared" si="0"/>
        <v>58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20</v>
      </c>
      <c r="I25" s="47">
        <f>VLOOKUP(C9,sheet1!B9:AN48,11,FALSE)</f>
        <v>20</v>
      </c>
      <c r="J25" s="47">
        <f t="shared" si="0"/>
        <v>40</v>
      </c>
      <c r="K25" s="47" t="str">
        <f t="shared" si="1"/>
        <v>P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10</v>
      </c>
      <c r="J26" s="47">
        <f t="shared" si="0"/>
        <v>27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28</v>
      </c>
      <c r="I27" s="47">
        <f>VLOOKUP(C9,sheet1!B9:AN48,15,FALSE)</f>
        <v>34</v>
      </c>
      <c r="J27" s="47">
        <f t="shared" si="0"/>
        <v>62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9</v>
      </c>
      <c r="I28" s="47">
        <f>VLOOKUP(C9,sheet1!B9:AN48,17,FALSE)</f>
        <v>25</v>
      </c>
      <c r="J28" s="47">
        <f t="shared" si="0"/>
        <v>34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20</v>
      </c>
      <c r="I30" s="47">
        <f>VLOOKUP(C9,sheet1!B9:AN48,21,FALSE)</f>
        <v>30</v>
      </c>
      <c r="J30" s="47">
        <f t="shared" si="0"/>
        <v>50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20</v>
      </c>
      <c r="I31" s="47">
        <f>VLOOKUP(C9,sheet1!B9:AN48,23,FALSE)</f>
        <v>9</v>
      </c>
      <c r="J31" s="47">
        <f t="shared" si="0"/>
        <v>29</v>
      </c>
      <c r="K31" s="47" t="str">
        <f t="shared" si="1"/>
        <v>F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22</v>
      </c>
      <c r="I32" s="47">
        <f>VLOOKUP(C9,sheet1!B9:AN48,25,FALSE)</f>
        <v>38</v>
      </c>
      <c r="J32" s="47">
        <f t="shared" si="0"/>
        <v>60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16</v>
      </c>
      <c r="I34" s="47">
        <f>VLOOKUP(C9,sheet1!B9:AN48,29,FALSE)</f>
        <v>24</v>
      </c>
      <c r="J34" s="47">
        <f t="shared" si="0"/>
        <v>40</v>
      </c>
      <c r="K34" s="47" t="str">
        <f t="shared" si="1"/>
        <v>P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19</v>
      </c>
      <c r="I35" s="47">
        <f>VLOOKUP(C9,sheet1!B9:AN48,31,FALSE)</f>
        <v>17</v>
      </c>
      <c r="J35" s="47">
        <f t="shared" si="0"/>
        <v>36</v>
      </c>
      <c r="K35" s="47" t="str">
        <f t="shared" si="1"/>
        <v>F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28</v>
      </c>
      <c r="I36" s="47">
        <f>VLOOKUP(C9,sheet1!B9:AN48,33,FALSE)</f>
        <v>26</v>
      </c>
      <c r="J36" s="47">
        <f t="shared" si="0"/>
        <v>54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19</v>
      </c>
      <c r="I37" s="47">
        <f>VLOOKUP(C9,sheet1!B9:AN48,35,FALSE)</f>
        <v>31</v>
      </c>
      <c r="J37" s="47">
        <f t="shared" si="0"/>
        <v>50</v>
      </c>
      <c r="K37" s="47" t="str">
        <f t="shared" si="1"/>
        <v>C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13</v>
      </c>
      <c r="I38" s="47">
        <f>VLOOKUP(C9,sheet1!B9:AN48,37,FALSE)</f>
        <v>28</v>
      </c>
      <c r="J38" s="47">
        <f t="shared" si="0"/>
        <v>41</v>
      </c>
      <c r="K38" s="47" t="str">
        <f t="shared" si="1"/>
        <v>P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11</v>
      </c>
      <c r="I39" s="47">
        <f>VLOOKUP(C9,sheet1!B9:AN48,39,FALSE)</f>
        <v>21</v>
      </c>
      <c r="J39" s="47">
        <f t="shared" si="0"/>
        <v>32</v>
      </c>
      <c r="K39" s="47" t="str">
        <f t="shared" si="1"/>
        <v>F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174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92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1" spans="1:11" hidden="1" x14ac:dyDescent="0.25"/>
    <row r="54" spans="1:11" x14ac:dyDescent="0.25">
      <c r="A54" s="37" t="s">
        <v>63</v>
      </c>
    </row>
    <row r="55" spans="1:11" x14ac:dyDescent="0.25">
      <c r="A55" s="23" t="s">
        <v>65</v>
      </c>
    </row>
  </sheetData>
  <sheetProtection algorithmName="SHA-512" hashValue="4G+cJMlNh3w+z1Y7oz6tVwU48SaZVdvi7pOvWDC/+AcYb1bnFgDpe6oFJxeMpP/eC5NY+WB/WDXMhxcaovZ/2A==" saltValue="92Hk0AkFoMeBinQtQNnS3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29" priority="2" operator="equal">
      <formula>"F"</formula>
    </cfRule>
    <cfRule type="cellIs" dxfId="28" priority="3" operator="equal">
      <formula>"P"</formula>
    </cfRule>
    <cfRule type="cellIs" dxfId="27" priority="4" operator="equal">
      <formula>"C"</formula>
    </cfRule>
    <cfRule type="cellIs" dxfId="26" priority="5" operator="equal">
      <formula>"A"</formula>
    </cfRule>
  </conditionalFormatting>
  <conditionalFormatting sqref="K21:K39">
    <cfRule type="cellIs" dxfId="2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2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2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K54"/>
  <sheetViews>
    <sheetView workbookViewId="0">
      <selection activeCell="M10" sqref="M10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(sheet1!B26)</f>
        <v>ONYINYECHI ANITA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67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3rd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128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55</v>
      </c>
      <c r="J21" s="47">
        <f>SUM(H21:I21)</f>
        <v>83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29</v>
      </c>
      <c r="I22" s="47">
        <f>VLOOKUP(C9,sheet1!B9:AN48,5,FALSE)</f>
        <v>63</v>
      </c>
      <c r="J22" s="47">
        <f t="shared" ref="J22:J39" si="0">SUM(H22:I22)</f>
        <v>92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23</v>
      </c>
      <c r="I23" s="47">
        <f>VLOOKUP(C9,sheet1!B9:AN48,7,FALSE)</f>
        <v>34</v>
      </c>
      <c r="J23" s="47">
        <f t="shared" si="0"/>
        <v>57</v>
      </c>
      <c r="K23" s="47" t="str">
        <f t="shared" si="1"/>
        <v>C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22</v>
      </c>
      <c r="I24" s="47">
        <f>VLOOKUP(C9,sheet1!B9:AN48,9,FALSE)</f>
        <v>40</v>
      </c>
      <c r="J24" s="47">
        <f t="shared" si="0"/>
        <v>62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25</v>
      </c>
      <c r="I25" s="47">
        <f>VLOOKUP(C9,sheet1!B9:AN48,11,FALSE)</f>
        <v>45</v>
      </c>
      <c r="J25" s="47">
        <f t="shared" si="0"/>
        <v>70</v>
      </c>
      <c r="K25" s="47" t="str">
        <f t="shared" si="1"/>
        <v>A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28</v>
      </c>
      <c r="I26" s="47">
        <f>VLOOKUP(C9,sheet1!B9:AN48,13,FALSE)</f>
        <v>32</v>
      </c>
      <c r="J26" s="47">
        <f t="shared" si="0"/>
        <v>60</v>
      </c>
      <c r="K26" s="47" t="str">
        <f t="shared" si="1"/>
        <v>C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19</v>
      </c>
      <c r="I27" s="47">
        <f>VLOOKUP(C9,sheet1!B9:AN48,15,FALSE)</f>
        <v>42</v>
      </c>
      <c r="J27" s="47">
        <f t="shared" si="0"/>
        <v>61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30</v>
      </c>
      <c r="I28" s="47">
        <f>VLOOKUP(C9,sheet1!B9:AN48,17,FALSE)</f>
        <v>46</v>
      </c>
      <c r="J28" s="47">
        <f t="shared" si="0"/>
        <v>76</v>
      </c>
      <c r="K28" s="47" t="str">
        <f t="shared" si="1"/>
        <v>A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19</v>
      </c>
      <c r="I30" s="47">
        <f>VLOOKUP(C9,sheet1!B9:AN48,21,FALSE)</f>
        <v>36</v>
      </c>
      <c r="J30" s="47">
        <f t="shared" si="0"/>
        <v>55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24</v>
      </c>
      <c r="I31" s="47">
        <f>VLOOKUP(C9,sheet1!B9:AN48,23,FALSE)</f>
        <v>52</v>
      </c>
      <c r="J31" s="47">
        <f t="shared" si="0"/>
        <v>76</v>
      </c>
      <c r="K31" s="47" t="str">
        <f t="shared" si="1"/>
        <v>A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40</v>
      </c>
      <c r="J32" s="47">
        <f t="shared" si="0"/>
        <v>65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22</v>
      </c>
      <c r="I34" s="47">
        <f>VLOOKUP(C9,sheet1!B9:AN48,29,FALSE)</f>
        <v>50</v>
      </c>
      <c r="J34" s="47">
        <f t="shared" si="0"/>
        <v>72</v>
      </c>
      <c r="K34" s="47" t="str">
        <f t="shared" si="1"/>
        <v>A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23</v>
      </c>
      <c r="I35" s="47">
        <f>VLOOKUP(C9,sheet1!B9:AN48,31,FALSE)</f>
        <v>40</v>
      </c>
      <c r="J35" s="47">
        <f t="shared" si="0"/>
        <v>63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27</v>
      </c>
      <c r="I36" s="47">
        <f>VLOOKUP(C9,sheet1!B9:AN48,33,FALSE)</f>
        <v>45</v>
      </c>
      <c r="J36" s="47">
        <f t="shared" si="0"/>
        <v>72</v>
      </c>
      <c r="K36" s="47" t="str">
        <f t="shared" si="1"/>
        <v>A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20</v>
      </c>
      <c r="I37" s="47">
        <f>VLOOKUP(C9,sheet1!B9:AN48,35,FALSE)</f>
        <v>18</v>
      </c>
      <c r="J37" s="47">
        <f t="shared" si="0"/>
        <v>38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24</v>
      </c>
      <c r="I38" s="47">
        <f>VLOOKUP(C9,sheet1!B9:AN48,37,FALSE)</f>
        <v>48</v>
      </c>
      <c r="J38" s="47">
        <f t="shared" si="0"/>
        <v>72</v>
      </c>
      <c r="K38" s="47" t="str">
        <f t="shared" si="1"/>
        <v>A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29</v>
      </c>
      <c r="I39" s="47">
        <f>VLOOKUP(C9,sheet1!B9:AN48,39,FALSE)</f>
        <v>36</v>
      </c>
      <c r="J39" s="47">
        <f t="shared" si="0"/>
        <v>65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167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95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1mxWf87nJa2hetC40RKRLexvMTryYXhDN0e6J9NICf6zbZ8V4fm9tIvOJlCq/GkkdbAxXE2Vw+YaixutS5pWPQ==" saltValue="tkVz3kxfZko/VGFteQyAh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24" priority="2" operator="equal">
      <formula>"F"</formula>
    </cfRule>
    <cfRule type="cellIs" dxfId="23" priority="3" operator="equal">
      <formula>"P"</formula>
    </cfRule>
    <cfRule type="cellIs" dxfId="22" priority="4" operator="equal">
      <formula>"C"</formula>
    </cfRule>
    <cfRule type="cellIs" dxfId="21" priority="5" operator="equal">
      <formula>"A"</formula>
    </cfRule>
  </conditionalFormatting>
  <conditionalFormatting sqref="K21:K39">
    <cfRule type="cellIs" dxfId="2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3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3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54"/>
  <sheetViews>
    <sheetView workbookViewId="0">
      <selection activeCell="A10" sqref="A10:B10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(sheet1!B27)</f>
        <v>ORIAKU BRIGHT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49.117647058823529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14th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126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26</v>
      </c>
      <c r="J21" s="47">
        <f>SUM(H21:I21)</f>
        <v>54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25</v>
      </c>
      <c r="I22" s="47">
        <f>VLOOKUP(C9,sheet1!B9:AN48,5,FALSE)</f>
        <v>33</v>
      </c>
      <c r="J22" s="47">
        <f t="shared" ref="J22:J39" si="0">SUM(H22:I22)</f>
        <v>58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28</v>
      </c>
      <c r="I23" s="47">
        <f>VLOOKUP(C9,sheet1!B9:AN48,7,FALSE)</f>
        <v>19</v>
      </c>
      <c r="J23" s="47">
        <f t="shared" si="0"/>
        <v>47</v>
      </c>
      <c r="K23" s="47" t="str">
        <f t="shared" si="1"/>
        <v>P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19</v>
      </c>
      <c r="I24" s="47">
        <f>VLOOKUP(C9,sheet1!B9:AN48,9,FALSE)</f>
        <v>32</v>
      </c>
      <c r="J24" s="47">
        <f t="shared" si="0"/>
        <v>51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28</v>
      </c>
      <c r="I25" s="47">
        <f>VLOOKUP(C9,sheet1!B9:AN48,11,FALSE)</f>
        <v>22</v>
      </c>
      <c r="J25" s="47">
        <f t="shared" si="0"/>
        <v>50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16</v>
      </c>
      <c r="I26" s="47">
        <f>VLOOKUP(C9,sheet1!B9:AN48,13,FALSE)</f>
        <v>24</v>
      </c>
      <c r="J26" s="47">
        <f t="shared" si="0"/>
        <v>40</v>
      </c>
      <c r="K26" s="47" t="str">
        <f t="shared" si="1"/>
        <v>P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22</v>
      </c>
      <c r="I27" s="47">
        <f>VLOOKUP(C9,sheet1!B9:AN48,15,FALSE)</f>
        <v>21</v>
      </c>
      <c r="J27" s="47">
        <f t="shared" si="0"/>
        <v>43</v>
      </c>
      <c r="K27" s="47" t="str">
        <f t="shared" si="1"/>
        <v>P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8</v>
      </c>
      <c r="I28" s="47">
        <f>VLOOKUP(C9,sheet1!B9:AN48,17,FALSE)</f>
        <v>14</v>
      </c>
      <c r="J28" s="47">
        <f t="shared" si="0"/>
        <v>22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22</v>
      </c>
      <c r="I30" s="47">
        <f>VLOOKUP(C9,sheet1!B9:AN48,21,FALSE)</f>
        <v>26</v>
      </c>
      <c r="J30" s="47">
        <f t="shared" si="0"/>
        <v>48</v>
      </c>
      <c r="K30" s="47" t="str">
        <f t="shared" si="1"/>
        <v>P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23</v>
      </c>
      <c r="I31" s="47">
        <f>VLOOKUP(C9,sheet1!B9:AN48,23,FALSE)</f>
        <v>30</v>
      </c>
      <c r="J31" s="47">
        <f t="shared" si="0"/>
        <v>53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26</v>
      </c>
      <c r="I32" s="47">
        <f>VLOOKUP(C9,sheet1!B9:AN48,25,FALSE)</f>
        <v>36</v>
      </c>
      <c r="J32" s="47">
        <f t="shared" si="0"/>
        <v>62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17</v>
      </c>
      <c r="I34" s="47">
        <f>VLOOKUP(C9,sheet1!B9:AN48,29,FALSE)</f>
        <v>10</v>
      </c>
      <c r="J34" s="47">
        <f t="shared" si="0"/>
        <v>27</v>
      </c>
      <c r="K34" s="47" t="str">
        <f t="shared" si="1"/>
        <v>F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22</v>
      </c>
      <c r="I35" s="47">
        <f>VLOOKUP(C9,sheet1!B9:AN48,31,FALSE)</f>
        <v>59</v>
      </c>
      <c r="J35" s="47">
        <f t="shared" si="0"/>
        <v>81</v>
      </c>
      <c r="K35" s="47" t="str">
        <f t="shared" si="1"/>
        <v>A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27</v>
      </c>
      <c r="I36" s="47">
        <f>VLOOKUP(C9,sheet1!B9:AN48,33,FALSE)</f>
        <v>30</v>
      </c>
      <c r="J36" s="47">
        <f t="shared" si="0"/>
        <v>57</v>
      </c>
      <c r="K36" s="47" t="str">
        <f t="shared" si="1"/>
        <v>C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16</v>
      </c>
      <c r="I37" s="47">
        <f>VLOOKUP(C9,sheet1!B9:AN48,35,FALSE)</f>
        <v>12</v>
      </c>
      <c r="J37" s="47">
        <f t="shared" si="0"/>
        <v>28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23</v>
      </c>
      <c r="I38" s="47">
        <f>VLOOKUP(C9,sheet1!B9:AN48,37,FALSE)</f>
        <v>23</v>
      </c>
      <c r="J38" s="47">
        <f t="shared" si="0"/>
        <v>46</v>
      </c>
      <c r="K38" s="47" t="str">
        <f t="shared" si="1"/>
        <v>P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28</v>
      </c>
      <c r="I39" s="47">
        <f>VLOOKUP(C9,sheet1!B9:AN48,39,FALSE)</f>
        <v>40</v>
      </c>
      <c r="J39" s="47">
        <f t="shared" si="0"/>
        <v>68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84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104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yj81idUKRmyV2QZEjx1UBQ899in2xDApGNG5uHRxYvR/hb27cRu/MECdsKQhBfHTWKiZZEuESivNkSFzCBRmxg==" saltValue="RQ2fgpRhItJFoy016EJC5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19" priority="2" operator="equal">
      <formula>"F"</formula>
    </cfRule>
    <cfRule type="cellIs" dxfId="18" priority="3" operator="equal">
      <formula>"P"</formula>
    </cfRule>
    <cfRule type="cellIs" dxfId="17" priority="4" operator="equal">
      <formula>"C"</formula>
    </cfRule>
    <cfRule type="cellIs" dxfId="16" priority="5" operator="equal">
      <formula>"A"</formula>
    </cfRule>
  </conditionalFormatting>
  <conditionalFormatting sqref="K21:K39">
    <cfRule type="cellIs" dxfId="1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4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4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K54"/>
  <sheetViews>
    <sheetView workbookViewId="0">
      <selection activeCell="H12" sqref="H12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(sheet1!B28)</f>
        <v>SAKA FAREED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69.058823529411768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2nd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56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126</v>
      </c>
      <c r="E17" s="8"/>
      <c r="F17" s="9"/>
      <c r="G17" s="92"/>
      <c r="H17" s="19" t="s">
        <v>34</v>
      </c>
      <c r="I17" s="15"/>
      <c r="J17" s="22" t="s">
        <v>52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68</v>
      </c>
      <c r="J21" s="47">
        <f>SUM(H21:I21)</f>
        <v>96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30</v>
      </c>
      <c r="I22" s="47">
        <f>VLOOKUP(C9,sheet1!B9:AN48,5,FALSE)</f>
        <v>55</v>
      </c>
      <c r="J22" s="47">
        <f t="shared" ref="J22:J39" si="0">SUM(H22:I22)</f>
        <v>85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29</v>
      </c>
      <c r="I23" s="47">
        <f>VLOOKUP(C9,sheet1!B9:AN48,7,FALSE)</f>
        <v>63</v>
      </c>
      <c r="J23" s="47">
        <f t="shared" si="0"/>
        <v>92</v>
      </c>
      <c r="K23" s="47" t="str">
        <f t="shared" si="1"/>
        <v>A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24</v>
      </c>
      <c r="I24" s="47">
        <f>VLOOKUP(C9,sheet1!B9:AN48,9,FALSE)</f>
        <v>52</v>
      </c>
      <c r="J24" s="47">
        <f t="shared" si="0"/>
        <v>76</v>
      </c>
      <c r="K24" s="47" t="str">
        <f t="shared" si="1"/>
        <v>A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23</v>
      </c>
      <c r="I25" s="47">
        <f>VLOOKUP(C9,sheet1!B9:AN48,11,FALSE)</f>
        <v>30</v>
      </c>
      <c r="J25" s="47">
        <f t="shared" si="0"/>
        <v>53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27</v>
      </c>
      <c r="I26" s="47">
        <f>VLOOKUP(C9,sheet1!B9:AN48,13,FALSE)</f>
        <v>33</v>
      </c>
      <c r="J26" s="47">
        <f t="shared" si="0"/>
        <v>60</v>
      </c>
      <c r="K26" s="47" t="str">
        <f t="shared" si="1"/>
        <v>C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20</v>
      </c>
      <c r="I27" s="47">
        <f>VLOOKUP(C9,sheet1!B9:AN48,15,FALSE)</f>
        <v>36</v>
      </c>
      <c r="J27" s="47">
        <f t="shared" si="0"/>
        <v>56</v>
      </c>
      <c r="K27" s="47" t="str">
        <f t="shared" si="1"/>
        <v>C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22</v>
      </c>
      <c r="I28" s="47">
        <f>VLOOKUP(C9,sheet1!B9:AN48,17,FALSE)</f>
        <v>24</v>
      </c>
      <c r="J28" s="47">
        <f t="shared" si="0"/>
        <v>46</v>
      </c>
      <c r="K28" s="47" t="str">
        <f t="shared" si="1"/>
        <v>P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14</v>
      </c>
      <c r="I30" s="47">
        <f>VLOOKUP(C9,sheet1!B9:AN48,21,FALSE)</f>
        <v>23</v>
      </c>
      <c r="J30" s="47">
        <f t="shared" si="0"/>
        <v>37</v>
      </c>
      <c r="K30" s="47" t="str">
        <f t="shared" si="1"/>
        <v>F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29</v>
      </c>
      <c r="I31" s="47">
        <f>VLOOKUP(C9,sheet1!B9:AN48,23,FALSE)</f>
        <v>46</v>
      </c>
      <c r="J31" s="47">
        <f t="shared" si="0"/>
        <v>75</v>
      </c>
      <c r="K31" s="47" t="str">
        <f t="shared" si="1"/>
        <v>A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50</v>
      </c>
      <c r="J32" s="47">
        <f t="shared" si="0"/>
        <v>75</v>
      </c>
      <c r="K32" s="47" t="str">
        <f t="shared" si="1"/>
        <v>A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25</v>
      </c>
      <c r="I34" s="47">
        <f>VLOOKUP(C9,sheet1!B9:AN48,29,FALSE)</f>
        <v>54</v>
      </c>
      <c r="J34" s="47">
        <f t="shared" si="0"/>
        <v>79</v>
      </c>
      <c r="K34" s="47" t="str">
        <f t="shared" si="1"/>
        <v>A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25</v>
      </c>
      <c r="I35" s="47">
        <f>VLOOKUP(C9,sheet1!B9:AN48,31,FALSE)</f>
        <v>60</v>
      </c>
      <c r="J35" s="47">
        <f t="shared" si="0"/>
        <v>85</v>
      </c>
      <c r="K35" s="47" t="str">
        <f t="shared" si="1"/>
        <v>A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29</v>
      </c>
      <c r="I36" s="47">
        <f>VLOOKUP(C9,sheet1!B9:AN48,33,FALSE)</f>
        <v>53</v>
      </c>
      <c r="J36" s="47">
        <f t="shared" si="0"/>
        <v>82</v>
      </c>
      <c r="K36" s="47" t="str">
        <f t="shared" si="1"/>
        <v>A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19</v>
      </c>
      <c r="I37" s="47">
        <f>VLOOKUP(C9,sheet1!B9:AN48,35,FALSE)</f>
        <v>34</v>
      </c>
      <c r="J37" s="47">
        <f t="shared" si="0"/>
        <v>53</v>
      </c>
      <c r="K37" s="47" t="str">
        <f t="shared" si="1"/>
        <v>C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21</v>
      </c>
      <c r="I38" s="47">
        <f>VLOOKUP(C9,sheet1!B9:AN48,37,FALSE)</f>
        <v>40</v>
      </c>
      <c r="J38" s="47">
        <f t="shared" si="0"/>
        <v>61</v>
      </c>
      <c r="K38" s="47" t="str">
        <f t="shared" si="1"/>
        <v>C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26</v>
      </c>
      <c r="I39" s="47">
        <f>VLOOKUP(C9,sheet1!B9:AN48,39,FALSE)</f>
        <v>37</v>
      </c>
      <c r="J39" s="47">
        <f t="shared" si="0"/>
        <v>63</v>
      </c>
      <c r="K39" s="47" t="str">
        <f t="shared" si="1"/>
        <v>C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76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93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SH2JuhCpoQDI9bPWDVxr/uJWIJfSY1oGySKbepD/WG6aCCuaR7gSCljg0EqgBxVQIWKWnJHQaKXB3GARkkq4/w==" saltValue="Kea1Vrg9fX81a2LvbKFOLw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14" priority="2" operator="equal">
      <formula>"F"</formula>
    </cfRule>
    <cfRule type="cellIs" dxfId="13" priority="3" operator="equal">
      <formula>"P"</formula>
    </cfRule>
    <cfRule type="cellIs" dxfId="12" priority="4" operator="equal">
      <formula>"C"</formula>
    </cfRule>
    <cfRule type="cellIs" dxfId="11" priority="5" operator="equal">
      <formula>"A"</formula>
    </cfRule>
  </conditionalFormatting>
  <conditionalFormatting sqref="K21:K39">
    <cfRule type="cellIs" dxfId="1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5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5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K54"/>
  <sheetViews>
    <sheetView workbookViewId="0">
      <selection activeCell="M13" sqref="M13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(sheet1!B29)</f>
        <v>VICTOR LOVETH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60.470588235294116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6th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52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126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56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62</v>
      </c>
      <c r="J21" s="47">
        <f>SUM(H21:I21)</f>
        <v>90</v>
      </c>
      <c r="K21" s="47" t="str">
        <f>IF(J21&gt;=70,"A",IF(J21&gt;=50,"C",IF(J21&gt;=40,"P","F")))</f>
        <v>A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27</v>
      </c>
      <c r="I22" s="47">
        <f>VLOOKUP(C9,sheet1!B9:AN48,5,FALSE)</f>
        <v>47</v>
      </c>
      <c r="J22" s="47">
        <f t="shared" ref="J22:J39" si="0">SUM(H22:I22)</f>
        <v>74</v>
      </c>
      <c r="K22" s="47" t="str">
        <f t="shared" ref="K22:K39" si="1">IF(J22&gt;=70,"A",IF(J22&gt;=50,"C",IF(J22&gt;=40,"P","F")))</f>
        <v>A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28</v>
      </c>
      <c r="I23" s="47">
        <f>VLOOKUP(C9,sheet1!B9:AN48,7,FALSE)</f>
        <v>54</v>
      </c>
      <c r="J23" s="47">
        <f t="shared" si="0"/>
        <v>82</v>
      </c>
      <c r="K23" s="47" t="str">
        <f t="shared" si="1"/>
        <v>A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25</v>
      </c>
      <c r="I24" s="47">
        <f>VLOOKUP(C9,sheet1!B9:AN48,9,FALSE)</f>
        <v>30</v>
      </c>
      <c r="J24" s="47">
        <f t="shared" si="0"/>
        <v>55</v>
      </c>
      <c r="K24" s="47" t="str">
        <f t="shared" si="1"/>
        <v>C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23</v>
      </c>
      <c r="I25" s="47">
        <f>VLOOKUP(C9,sheet1!B9:AN48,11,FALSE)</f>
        <v>45</v>
      </c>
      <c r="J25" s="47">
        <f t="shared" si="0"/>
        <v>68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23</v>
      </c>
      <c r="I26" s="47">
        <f>VLOOKUP(C9,sheet1!B9:AN48,13,FALSE)</f>
        <v>12</v>
      </c>
      <c r="J26" s="47">
        <f t="shared" si="0"/>
        <v>35</v>
      </c>
      <c r="K26" s="47" t="str">
        <f t="shared" si="1"/>
        <v>F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23</v>
      </c>
      <c r="I27" s="47">
        <f>VLOOKUP(C9,sheet1!B9:AN48,15,FALSE)</f>
        <v>8</v>
      </c>
      <c r="J27" s="47">
        <f t="shared" si="0"/>
        <v>31</v>
      </c>
      <c r="K27" s="47" t="str">
        <f t="shared" si="1"/>
        <v>F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24</v>
      </c>
      <c r="I28" s="47">
        <f>VLOOKUP(C9,sheet1!B9:AN48,17,FALSE)</f>
        <v>16</v>
      </c>
      <c r="J28" s="47">
        <f t="shared" si="0"/>
        <v>40</v>
      </c>
      <c r="K28" s="47" t="str">
        <f t="shared" si="1"/>
        <v>P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11</v>
      </c>
      <c r="I30" s="47">
        <f>VLOOKUP(C9,sheet1!B9:AN48,21,FALSE)</f>
        <v>61</v>
      </c>
      <c r="J30" s="47">
        <f t="shared" si="0"/>
        <v>72</v>
      </c>
      <c r="K30" s="47" t="str">
        <f t="shared" si="1"/>
        <v>A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27</v>
      </c>
      <c r="I31" s="47">
        <f>VLOOKUP(C9,sheet1!B9:AN48,23,FALSE)</f>
        <v>49</v>
      </c>
      <c r="J31" s="47">
        <f t="shared" si="0"/>
        <v>76</v>
      </c>
      <c r="K31" s="47" t="str">
        <f t="shared" si="1"/>
        <v>A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25</v>
      </c>
      <c r="I32" s="47">
        <f>VLOOKUP(C9,sheet1!B9:AN48,25,FALSE)</f>
        <v>25</v>
      </c>
      <c r="J32" s="47">
        <f t="shared" si="0"/>
        <v>50</v>
      </c>
      <c r="K32" s="47" t="str">
        <f t="shared" si="1"/>
        <v>C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22</v>
      </c>
      <c r="I34" s="47">
        <f>VLOOKUP(C9,sheet1!B9:AN48,29,FALSE)</f>
        <v>34</v>
      </c>
      <c r="J34" s="47">
        <f t="shared" si="0"/>
        <v>56</v>
      </c>
      <c r="K34" s="47" t="str">
        <f t="shared" si="1"/>
        <v>C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19</v>
      </c>
      <c r="I35" s="47">
        <f>VLOOKUP(C9,sheet1!B9:AN48,31,FALSE)</f>
        <v>38</v>
      </c>
      <c r="J35" s="47">
        <f t="shared" si="0"/>
        <v>57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27</v>
      </c>
      <c r="I36" s="47">
        <f>VLOOKUP(C9,sheet1!B9:AN48,33,FALSE)</f>
        <v>45</v>
      </c>
      <c r="J36" s="47">
        <f t="shared" si="0"/>
        <v>72</v>
      </c>
      <c r="K36" s="47" t="str">
        <f t="shared" si="1"/>
        <v>A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17</v>
      </c>
      <c r="I37" s="47">
        <f>VLOOKUP(C9,sheet1!B9:AN48,35,FALSE)</f>
        <v>23</v>
      </c>
      <c r="J37" s="47">
        <f t="shared" si="0"/>
        <v>40</v>
      </c>
      <c r="K37" s="47" t="str">
        <f t="shared" si="1"/>
        <v>P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23</v>
      </c>
      <c r="I38" s="47">
        <f>VLOOKUP(C9,sheet1!B9:AN48,37,FALSE)</f>
        <v>27</v>
      </c>
      <c r="J38" s="47">
        <f t="shared" si="0"/>
        <v>50</v>
      </c>
      <c r="K38" s="47" t="str">
        <f t="shared" si="1"/>
        <v>C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26</v>
      </c>
      <c r="I39" s="47">
        <f>VLOOKUP(C9,sheet1!B9:AN48,39,FALSE)</f>
        <v>54</v>
      </c>
      <c r="J39" s="47">
        <f t="shared" si="0"/>
        <v>80</v>
      </c>
      <c r="K39" s="47" t="str">
        <f t="shared" si="1"/>
        <v>A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84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148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PXz9fjXIHaCUJ1eQqSZQiAauUlRaDrcSD/GSOkhcVGMXrcgAhFmhG7i0WD0bwr7Vd3x9r5plFoHmrfDRK6zbfw==" saltValue="3lKwEWmMCAugnDi0gmIsoA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9" priority="2" operator="equal">
      <formula>"F"</formula>
    </cfRule>
    <cfRule type="cellIs" dxfId="8" priority="3" operator="equal">
      <formula>"P"</formula>
    </cfRule>
    <cfRule type="cellIs" dxfId="7" priority="4" operator="equal">
      <formula>"C"</formula>
    </cfRule>
    <cfRule type="cellIs" dxfId="6" priority="5" operator="equal">
      <formula>"A"</formula>
    </cfRule>
  </conditionalFormatting>
  <conditionalFormatting sqref="K21:K39">
    <cfRule type="cellIs" dxfId="5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6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600-000002000000}">
          <x14:formula1>
            <xm:f>sheet2!$H$8:$H$12</xm:f>
          </x14:formula1>
          <xm:sqref>J15:J18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K54"/>
  <sheetViews>
    <sheetView workbookViewId="0">
      <selection activeCell="P16" sqref="P16"/>
    </sheetView>
  </sheetViews>
  <sheetFormatPr defaultRowHeight="15" x14ac:dyDescent="0.25"/>
  <cols>
    <col min="7" max="7" width="6.42578125" customWidth="1"/>
  </cols>
  <sheetData>
    <row r="1" spans="1:11" ht="15" customHeight="1" x14ac:dyDescent="0.25">
      <c r="A1" s="10"/>
      <c r="B1" s="96" t="s">
        <v>183</v>
      </c>
      <c r="C1" s="96"/>
      <c r="D1" s="96"/>
      <c r="E1" s="96"/>
      <c r="F1" s="96"/>
      <c r="G1" s="96"/>
      <c r="H1" s="96"/>
      <c r="I1" s="96"/>
      <c r="J1" s="96"/>
      <c r="K1" s="96"/>
    </row>
    <row r="2" spans="1:11" ht="15" customHeight="1" x14ac:dyDescent="0.25">
      <c r="A2" s="10"/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5.75" x14ac:dyDescent="0.25">
      <c r="A3" s="10"/>
      <c r="B3" s="97" t="s">
        <v>184</v>
      </c>
      <c r="C3" s="97"/>
      <c r="D3" s="97"/>
      <c r="E3" s="97"/>
      <c r="F3" s="97"/>
      <c r="G3" s="97"/>
      <c r="H3" s="97"/>
      <c r="I3" s="97"/>
      <c r="J3" s="97"/>
      <c r="K3" s="97"/>
    </row>
    <row r="4" spans="1:11" ht="15.75" x14ac:dyDescent="0.25">
      <c r="A4" s="10"/>
      <c r="B4" s="98" t="s">
        <v>186</v>
      </c>
      <c r="C4" s="98"/>
      <c r="D4" s="98"/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10"/>
      <c r="B5" s="99" t="s">
        <v>36</v>
      </c>
      <c r="C5" s="99"/>
      <c r="D5" s="99"/>
      <c r="E5" s="99"/>
      <c r="F5" s="99"/>
      <c r="G5" s="99"/>
      <c r="H5" s="99"/>
      <c r="I5" s="99"/>
      <c r="J5" s="99"/>
      <c r="K5" s="99"/>
    </row>
    <row r="6" spans="1:11" ht="15" customHeight="1" x14ac:dyDescent="0.25">
      <c r="A6" s="10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1" ht="15" customHeight="1" x14ac:dyDescent="0.25">
      <c r="J7" s="95" t="s">
        <v>110</v>
      </c>
      <c r="K7" s="95"/>
    </row>
    <row r="8" spans="1:11" x14ac:dyDescent="0.25">
      <c r="J8" s="95"/>
      <c r="K8" s="95"/>
    </row>
    <row r="9" spans="1:11" x14ac:dyDescent="0.25">
      <c r="A9" s="100" t="s">
        <v>37</v>
      </c>
      <c r="B9" s="100"/>
      <c r="C9" s="41" t="str">
        <f>(sheet1!B30)</f>
        <v>WASIU NIMOTALLAH</v>
      </c>
      <c r="D9" s="8"/>
      <c r="E9" s="8"/>
      <c r="F9" s="8"/>
      <c r="G9" s="8"/>
      <c r="H9" s="9"/>
      <c r="J9" s="95"/>
      <c r="K9" s="95"/>
    </row>
    <row r="10" spans="1:11" x14ac:dyDescent="0.25">
      <c r="A10" s="93" t="s">
        <v>38</v>
      </c>
      <c r="B10" s="94"/>
      <c r="C10" s="41" t="str">
        <f>(sheet1!B7)</f>
        <v>JSS 1A</v>
      </c>
      <c r="D10" s="8"/>
      <c r="E10" s="8"/>
      <c r="F10" s="8"/>
      <c r="G10" s="8"/>
      <c r="H10" s="9"/>
      <c r="J10" s="95"/>
      <c r="K10" s="95"/>
    </row>
    <row r="11" spans="1:11" x14ac:dyDescent="0.25">
      <c r="A11" s="93" t="s">
        <v>39</v>
      </c>
      <c r="B11" s="94"/>
      <c r="C11" s="41" t="str">
        <f>(sheet1!C4)</f>
        <v>2025/2026</v>
      </c>
      <c r="D11" s="8"/>
      <c r="E11" s="8"/>
      <c r="F11" s="8"/>
      <c r="G11" s="8"/>
      <c r="H11" s="9"/>
      <c r="J11" s="95"/>
      <c r="K11" s="95"/>
    </row>
    <row r="12" spans="1:11" x14ac:dyDescent="0.25">
      <c r="A12" s="93" t="s">
        <v>40</v>
      </c>
      <c r="B12" s="94"/>
      <c r="C12" s="42" t="str">
        <f>(sheet1!B5)</f>
        <v>FIRST TERM</v>
      </c>
      <c r="D12" s="7"/>
      <c r="E12" s="7"/>
      <c r="F12" s="14" t="s">
        <v>45</v>
      </c>
      <c r="G12" s="9"/>
      <c r="H12" s="43">
        <f>VLOOKUP(C9,sheet2!B8:E47,3,FALSE)</f>
        <v>49.411764705882355</v>
      </c>
      <c r="I12" s="17"/>
      <c r="J12" s="95"/>
      <c r="K12" s="95"/>
    </row>
    <row r="13" spans="1:11" x14ac:dyDescent="0.25">
      <c r="A13" s="93" t="s">
        <v>41</v>
      </c>
      <c r="B13" s="94"/>
      <c r="C13" s="42" t="str">
        <f>(sheet2!E6)</f>
        <v>12TH JANUARY 2026</v>
      </c>
      <c r="D13" s="7"/>
      <c r="E13" s="7"/>
      <c r="F13" s="21" t="s">
        <v>44</v>
      </c>
      <c r="G13" s="9"/>
      <c r="H13" s="44" t="str">
        <f>VLOOKUP(C9,sheet2!B8:E47,4,FALSE)</f>
        <v>13th</v>
      </c>
      <c r="I13" s="18"/>
      <c r="J13" s="95"/>
      <c r="K13" s="95"/>
    </row>
    <row r="15" spans="1:11" ht="16.5" customHeight="1" x14ac:dyDescent="0.25">
      <c r="A15" s="14" t="s">
        <v>49</v>
      </c>
      <c r="B15" s="8"/>
      <c r="C15" s="8"/>
      <c r="D15" s="14" t="s">
        <v>50</v>
      </c>
      <c r="E15" s="8"/>
      <c r="F15" s="9"/>
      <c r="G15" s="92" t="s">
        <v>51</v>
      </c>
      <c r="H15" s="19" t="s">
        <v>32</v>
      </c>
      <c r="I15" s="15"/>
      <c r="J15" s="22" t="s">
        <v>52</v>
      </c>
      <c r="K15" s="9"/>
    </row>
    <row r="16" spans="1:11" ht="20.25" customHeight="1" x14ac:dyDescent="0.25">
      <c r="A16" s="11" t="s">
        <v>47</v>
      </c>
      <c r="B16" s="7"/>
      <c r="C16" s="7"/>
      <c r="D16" s="45">
        <f>(sheet2!C6)</f>
        <v>128</v>
      </c>
      <c r="E16" s="7"/>
      <c r="F16" s="13"/>
      <c r="G16" s="92"/>
      <c r="H16" s="19" t="s">
        <v>33</v>
      </c>
      <c r="I16" s="15"/>
      <c r="J16" s="22" t="s">
        <v>56</v>
      </c>
      <c r="K16" s="9"/>
    </row>
    <row r="17" spans="1:11" ht="21.75" customHeight="1" x14ac:dyDescent="0.25">
      <c r="A17" s="12" t="s">
        <v>48</v>
      </c>
      <c r="B17" s="8"/>
      <c r="C17" s="8"/>
      <c r="D17" s="46">
        <f>VLOOKUP(C9,sheet2!B8:C47,2,FALSE)</f>
        <v>128</v>
      </c>
      <c r="E17" s="8"/>
      <c r="F17" s="9"/>
      <c r="G17" s="92"/>
      <c r="H17" s="19" t="s">
        <v>34</v>
      </c>
      <c r="I17" s="15"/>
      <c r="J17" s="22" t="s">
        <v>56</v>
      </c>
      <c r="K17" s="9"/>
    </row>
    <row r="18" spans="1:11" ht="23.25" customHeight="1" x14ac:dyDescent="0.25">
      <c r="A18" s="11" t="s">
        <v>46</v>
      </c>
      <c r="B18" s="7"/>
      <c r="C18" s="7"/>
      <c r="D18" s="45">
        <f>(sheet2!D6)</f>
        <v>22</v>
      </c>
      <c r="E18" s="7"/>
      <c r="F18" s="13"/>
      <c r="G18" s="92"/>
      <c r="H18" s="20" t="s">
        <v>35</v>
      </c>
      <c r="I18" s="16"/>
      <c r="J18" s="22" t="s">
        <v>53</v>
      </c>
      <c r="K18" s="13"/>
    </row>
    <row r="20" spans="1:11" ht="15.75" x14ac:dyDescent="0.25">
      <c r="A20" s="25" t="s">
        <v>57</v>
      </c>
      <c r="B20" s="26"/>
      <c r="C20" s="26"/>
      <c r="D20" s="26"/>
      <c r="E20" s="26"/>
      <c r="F20" s="26"/>
      <c r="G20" s="27"/>
      <c r="H20" s="29" t="s">
        <v>1</v>
      </c>
      <c r="I20" s="29" t="s">
        <v>2</v>
      </c>
      <c r="J20" s="29" t="s">
        <v>30</v>
      </c>
      <c r="K20" s="29" t="s">
        <v>58</v>
      </c>
    </row>
    <row r="21" spans="1:11" ht="15" customHeight="1" x14ac:dyDescent="0.25">
      <c r="A21" s="28" t="s">
        <v>6</v>
      </c>
      <c r="B21" s="8"/>
      <c r="C21" s="8"/>
      <c r="D21" s="8"/>
      <c r="E21" s="8"/>
      <c r="F21" s="8"/>
      <c r="G21" s="9"/>
      <c r="H21" s="47">
        <f>VLOOKUP(C9,sheet1!B9:AN48,2,FALSE)</f>
        <v>28</v>
      </c>
      <c r="I21" s="47">
        <f>VLOOKUP(C9,sheet1!B9:AN48,3,FALSE)</f>
        <v>28</v>
      </c>
      <c r="J21" s="47">
        <f>SUM(H21:I21)</f>
        <v>56</v>
      </c>
      <c r="K21" s="47" t="str">
        <f>IF(J21&gt;=70,"A",IF(J21&gt;=50,"C",IF(J21&gt;=40,"P","F")))</f>
        <v>C</v>
      </c>
    </row>
    <row r="22" spans="1:11" ht="15" customHeight="1" x14ac:dyDescent="0.25">
      <c r="A22" s="28" t="s">
        <v>3</v>
      </c>
      <c r="B22" s="8"/>
      <c r="C22" s="8"/>
      <c r="D22" s="8"/>
      <c r="E22" s="8"/>
      <c r="F22" s="8"/>
      <c r="G22" s="9"/>
      <c r="H22" s="47">
        <f>VLOOKUP(C9,sheet1!B9:AN48,4,FALSE)</f>
        <v>28</v>
      </c>
      <c r="I22" s="47">
        <f>VLOOKUP(C9,sheet1!B9:AN48,5,FALSE)</f>
        <v>28</v>
      </c>
      <c r="J22" s="47">
        <f t="shared" ref="J22:J39" si="0">SUM(H22:I22)</f>
        <v>56</v>
      </c>
      <c r="K22" s="47" t="str">
        <f t="shared" ref="K22:K39" si="1">IF(J22&gt;=70,"A",IF(J22&gt;=50,"C",IF(J22&gt;=40,"P","F")))</f>
        <v>C</v>
      </c>
    </row>
    <row r="23" spans="1:11" ht="15" customHeight="1" x14ac:dyDescent="0.25">
      <c r="A23" s="28" t="s">
        <v>4</v>
      </c>
      <c r="B23" s="8"/>
      <c r="C23" s="8"/>
      <c r="D23" s="8"/>
      <c r="E23" s="8"/>
      <c r="F23" s="8"/>
      <c r="G23" s="9"/>
      <c r="H23" s="47">
        <f>VLOOKUP(C9,sheet1!B9:AN48,6,FALSE)</f>
        <v>28</v>
      </c>
      <c r="I23" s="47">
        <f>VLOOKUP(C9,sheet1!B9:AN48,7,FALSE)</f>
        <v>43</v>
      </c>
      <c r="J23" s="47">
        <f t="shared" si="0"/>
        <v>71</v>
      </c>
      <c r="K23" s="47" t="str">
        <f t="shared" si="1"/>
        <v>A</v>
      </c>
    </row>
    <row r="24" spans="1:11" ht="15" customHeight="1" x14ac:dyDescent="0.25">
      <c r="A24" s="28" t="s">
        <v>5</v>
      </c>
      <c r="B24" s="8"/>
      <c r="C24" s="8"/>
      <c r="D24" s="8"/>
      <c r="E24" s="8"/>
      <c r="F24" s="8"/>
      <c r="G24" s="9"/>
      <c r="H24" s="47">
        <f>VLOOKUP(C9,sheet1!B9:AN48,8,FALSE)</f>
        <v>17</v>
      </c>
      <c r="I24" s="47">
        <f>VLOOKUP(C9,sheet1!B9:AN48,9,FALSE)</f>
        <v>16</v>
      </c>
      <c r="J24" s="47">
        <f t="shared" si="0"/>
        <v>33</v>
      </c>
      <c r="K24" s="47" t="str">
        <f t="shared" si="1"/>
        <v>F</v>
      </c>
    </row>
    <row r="25" spans="1:11" ht="15" customHeight="1" x14ac:dyDescent="0.25">
      <c r="A25" s="28" t="s">
        <v>7</v>
      </c>
      <c r="B25" s="8"/>
      <c r="C25" s="8"/>
      <c r="D25" s="8"/>
      <c r="E25" s="8"/>
      <c r="F25" s="8"/>
      <c r="G25" s="9"/>
      <c r="H25" s="47">
        <f>VLOOKUP(C9,sheet1!B9:AN48,10,FALSE)</f>
        <v>24</v>
      </c>
      <c r="I25" s="47">
        <f>VLOOKUP(C9,sheet1!B9:AN48,11,FALSE)</f>
        <v>30</v>
      </c>
      <c r="J25" s="47">
        <f t="shared" si="0"/>
        <v>54</v>
      </c>
      <c r="K25" s="47" t="str">
        <f t="shared" si="1"/>
        <v>C</v>
      </c>
    </row>
    <row r="26" spans="1:11" ht="15" customHeight="1" x14ac:dyDescent="0.25">
      <c r="A26" s="28" t="s">
        <v>8</v>
      </c>
      <c r="B26" s="8"/>
      <c r="C26" s="8"/>
      <c r="D26" s="8"/>
      <c r="E26" s="8"/>
      <c r="F26" s="8"/>
      <c r="G26" s="9"/>
      <c r="H26" s="47">
        <f>VLOOKUP(C9,sheet1!B9:AN48,12,FALSE)</f>
        <v>17</v>
      </c>
      <c r="I26" s="47">
        <f>VLOOKUP(C9,sheet1!B9:AN48,13,FALSE)</f>
        <v>29</v>
      </c>
      <c r="J26" s="47">
        <f t="shared" si="0"/>
        <v>46</v>
      </c>
      <c r="K26" s="47" t="str">
        <f t="shared" si="1"/>
        <v>P</v>
      </c>
    </row>
    <row r="27" spans="1:11" ht="15" customHeight="1" x14ac:dyDescent="0.25">
      <c r="A27" s="28" t="s">
        <v>9</v>
      </c>
      <c r="B27" s="8"/>
      <c r="C27" s="8"/>
      <c r="D27" s="8"/>
      <c r="E27" s="8"/>
      <c r="F27" s="8"/>
      <c r="G27" s="9"/>
      <c r="H27" s="47">
        <f>VLOOKUP(C9,sheet1!B9:AN48,14,FALSE)</f>
        <v>21</v>
      </c>
      <c r="I27" s="47">
        <f>VLOOKUP(C9,sheet1!B9:AN48,15,FALSE)</f>
        <v>20</v>
      </c>
      <c r="J27" s="47">
        <f t="shared" si="0"/>
        <v>41</v>
      </c>
      <c r="K27" s="47" t="str">
        <f t="shared" si="1"/>
        <v>P</v>
      </c>
    </row>
    <row r="28" spans="1:11" ht="15" customHeight="1" x14ac:dyDescent="0.25">
      <c r="A28" s="28" t="s">
        <v>10</v>
      </c>
      <c r="B28" s="8"/>
      <c r="C28" s="8"/>
      <c r="D28" s="8"/>
      <c r="E28" s="8"/>
      <c r="F28" s="8"/>
      <c r="G28" s="9"/>
      <c r="H28" s="47">
        <f>VLOOKUP(C9,sheet1!B9:AN48,16,FALSE)</f>
        <v>21</v>
      </c>
      <c r="I28" s="47">
        <f>VLOOKUP(C9,sheet1!B9:AN48,17,FALSE)</f>
        <v>15</v>
      </c>
      <c r="J28" s="47">
        <f t="shared" si="0"/>
        <v>36</v>
      </c>
      <c r="K28" s="47" t="str">
        <f t="shared" si="1"/>
        <v>F</v>
      </c>
    </row>
    <row r="29" spans="1:11" ht="15" hidden="1" customHeight="1" x14ac:dyDescent="0.25">
      <c r="A29" s="28" t="s">
        <v>11</v>
      </c>
      <c r="B29" s="8"/>
      <c r="C29" s="8"/>
      <c r="D29" s="8"/>
      <c r="E29" s="8"/>
      <c r="F29" s="8"/>
      <c r="G29" s="9"/>
      <c r="H29" s="47">
        <f>VLOOKUP(C9,sheet1!B9:AN48,18,FALSE)</f>
        <v>0</v>
      </c>
      <c r="I29" s="47">
        <f>VLOOKUP(C9,sheet1!B9:AN48,19,FALSE)</f>
        <v>0</v>
      </c>
      <c r="J29" s="47">
        <f t="shared" si="0"/>
        <v>0</v>
      </c>
      <c r="K29" s="47" t="str">
        <f t="shared" si="1"/>
        <v>F</v>
      </c>
    </row>
    <row r="30" spans="1:11" ht="15" customHeight="1" x14ac:dyDescent="0.25">
      <c r="A30" s="28" t="s">
        <v>13</v>
      </c>
      <c r="B30" s="8"/>
      <c r="C30" s="8"/>
      <c r="D30" s="8"/>
      <c r="E30" s="8"/>
      <c r="F30" s="8"/>
      <c r="G30" s="9"/>
      <c r="H30" s="47">
        <f>VLOOKUP(C9,sheet1!B9:AN48,20,FALSE)</f>
        <v>30</v>
      </c>
      <c r="I30" s="47">
        <f>VLOOKUP(C9,sheet1!B9:AN48,21,FALSE)</f>
        <v>38</v>
      </c>
      <c r="J30" s="47">
        <f t="shared" si="0"/>
        <v>68</v>
      </c>
      <c r="K30" s="47" t="str">
        <f t="shared" si="1"/>
        <v>C</v>
      </c>
    </row>
    <row r="31" spans="1:11" x14ac:dyDescent="0.25">
      <c r="A31" s="28" t="s">
        <v>14</v>
      </c>
      <c r="B31" s="8"/>
      <c r="C31" s="8"/>
      <c r="D31" s="8"/>
      <c r="E31" s="8"/>
      <c r="F31" s="8"/>
      <c r="G31" s="9"/>
      <c r="H31" s="47">
        <f>VLOOKUP(C9,sheet1!B9:AN48,22,FALSE)</f>
        <v>23</v>
      </c>
      <c r="I31" s="47">
        <f>VLOOKUP(C9,sheet1!B9:AN48,23,FALSE)</f>
        <v>27</v>
      </c>
      <c r="J31" s="47">
        <f t="shared" si="0"/>
        <v>50</v>
      </c>
      <c r="K31" s="47" t="str">
        <f t="shared" si="1"/>
        <v>C</v>
      </c>
    </row>
    <row r="32" spans="1:11" x14ac:dyDescent="0.25">
      <c r="A32" s="28" t="s">
        <v>15</v>
      </c>
      <c r="B32" s="8"/>
      <c r="C32" s="8"/>
      <c r="D32" s="8"/>
      <c r="E32" s="8"/>
      <c r="F32" s="8"/>
      <c r="G32" s="9"/>
      <c r="H32" s="47">
        <f>VLOOKUP(C9,sheet1!B9:AN48,24,FALSE)</f>
        <v>20</v>
      </c>
      <c r="I32" s="47">
        <f>VLOOKUP(C9,sheet1!B9:AN48,25,FALSE)</f>
        <v>20</v>
      </c>
      <c r="J32" s="47">
        <f t="shared" si="0"/>
        <v>40</v>
      </c>
      <c r="K32" s="47" t="str">
        <f t="shared" si="1"/>
        <v>P</v>
      </c>
    </row>
    <row r="33" spans="1:11" hidden="1" x14ac:dyDescent="0.25">
      <c r="A33" s="28" t="s">
        <v>22</v>
      </c>
      <c r="B33" s="8"/>
      <c r="C33" s="8"/>
      <c r="D33" s="8"/>
      <c r="E33" s="8"/>
      <c r="F33" s="8"/>
      <c r="G33" s="9"/>
      <c r="H33" s="47">
        <f>VLOOKUP(C9,sheet1!B9:AN48,26,FALSE)</f>
        <v>0</v>
      </c>
      <c r="I33" s="47">
        <f>VLOOKUP(C9,sheet1!B9:AN48,27,FALSE)</f>
        <v>0</v>
      </c>
      <c r="J33" s="47">
        <f t="shared" si="0"/>
        <v>0</v>
      </c>
      <c r="K33" s="47" t="str">
        <f t="shared" si="1"/>
        <v>F</v>
      </c>
    </row>
    <row r="34" spans="1:11" x14ac:dyDescent="0.25">
      <c r="A34" s="28" t="s">
        <v>16</v>
      </c>
      <c r="B34" s="8"/>
      <c r="C34" s="8"/>
      <c r="D34" s="8"/>
      <c r="E34" s="8"/>
      <c r="F34" s="8"/>
      <c r="G34" s="9"/>
      <c r="H34" s="47">
        <f>VLOOKUP(C9,sheet1!B9:AN48,28,FALSE)</f>
        <v>17</v>
      </c>
      <c r="I34" s="47">
        <f>VLOOKUP(C9,sheet1!B9:AN48,29,FALSE)</f>
        <v>22</v>
      </c>
      <c r="J34" s="47">
        <f t="shared" si="0"/>
        <v>39</v>
      </c>
      <c r="K34" s="47" t="str">
        <f t="shared" si="1"/>
        <v>F</v>
      </c>
    </row>
    <row r="35" spans="1:11" x14ac:dyDescent="0.25">
      <c r="A35" s="28" t="s">
        <v>17</v>
      </c>
      <c r="B35" s="8"/>
      <c r="C35" s="8"/>
      <c r="D35" s="8"/>
      <c r="E35" s="8"/>
      <c r="F35" s="8"/>
      <c r="G35" s="9"/>
      <c r="H35" s="47">
        <f>VLOOKUP(C9,sheet1!B9:AN48,30,FALSE)</f>
        <v>21</v>
      </c>
      <c r="I35" s="47">
        <f>VLOOKUP(C9,sheet1!B9:AN48,31,FALSE)</f>
        <v>40</v>
      </c>
      <c r="J35" s="47">
        <f t="shared" si="0"/>
        <v>61</v>
      </c>
      <c r="K35" s="47" t="str">
        <f t="shared" si="1"/>
        <v>C</v>
      </c>
    </row>
    <row r="36" spans="1:11" x14ac:dyDescent="0.25">
      <c r="A36" s="28" t="s">
        <v>18</v>
      </c>
      <c r="B36" s="8"/>
      <c r="C36" s="8"/>
      <c r="D36" s="8"/>
      <c r="E36" s="8"/>
      <c r="F36" s="8"/>
      <c r="G36" s="9"/>
      <c r="H36" s="47">
        <f>VLOOKUP(C9,sheet1!B9:AN48,32,FALSE)</f>
        <v>26</v>
      </c>
      <c r="I36" s="47">
        <f>VLOOKUP(C9,sheet1!B9:AN48,33,FALSE)</f>
        <v>20</v>
      </c>
      <c r="J36" s="47">
        <f t="shared" si="0"/>
        <v>46</v>
      </c>
      <c r="K36" s="47" t="str">
        <f t="shared" si="1"/>
        <v>P</v>
      </c>
    </row>
    <row r="37" spans="1:11" x14ac:dyDescent="0.25">
      <c r="A37" s="28" t="s">
        <v>19</v>
      </c>
      <c r="B37" s="8"/>
      <c r="C37" s="8"/>
      <c r="D37" s="8"/>
      <c r="E37" s="8"/>
      <c r="F37" s="8"/>
      <c r="G37" s="9"/>
      <c r="H37" s="47">
        <f>VLOOKUP(C9,sheet1!B9:AN48,34,FALSE)</f>
        <v>21</v>
      </c>
      <c r="I37" s="47">
        <f>VLOOKUP(C9,sheet1!B9:AN48,35,FALSE)</f>
        <v>8</v>
      </c>
      <c r="J37" s="47">
        <f t="shared" si="0"/>
        <v>29</v>
      </c>
      <c r="K37" s="47" t="str">
        <f t="shared" si="1"/>
        <v>F</v>
      </c>
    </row>
    <row r="38" spans="1:11" x14ac:dyDescent="0.25">
      <c r="A38" s="28" t="s">
        <v>20</v>
      </c>
      <c r="B38" s="8"/>
      <c r="C38" s="8"/>
      <c r="D38" s="8"/>
      <c r="E38" s="8"/>
      <c r="F38" s="8"/>
      <c r="G38" s="9"/>
      <c r="H38" s="47">
        <f>VLOOKUP(C9,sheet1!B9:AN48,36,FALSE)</f>
        <v>19</v>
      </c>
      <c r="I38" s="47">
        <f>VLOOKUP(C9,sheet1!B9:AN48,37,FALSE)</f>
        <v>14</v>
      </c>
      <c r="J38" s="47">
        <f t="shared" si="0"/>
        <v>33</v>
      </c>
      <c r="K38" s="47" t="str">
        <f t="shared" si="1"/>
        <v>F</v>
      </c>
    </row>
    <row r="39" spans="1:11" x14ac:dyDescent="0.25">
      <c r="A39" s="24" t="s">
        <v>21</v>
      </c>
      <c r="B39" s="7"/>
      <c r="C39" s="7"/>
      <c r="D39" s="7"/>
      <c r="E39" s="7"/>
      <c r="F39" s="7"/>
      <c r="G39" s="13"/>
      <c r="H39" s="47">
        <f>VLOOKUP(C9,sheet1!B9:AN48,38,FALSE)</f>
        <v>21</v>
      </c>
      <c r="I39" s="47">
        <f>VLOOKUP(C9,sheet1!B9:AN48,39,FALSE)</f>
        <v>60</v>
      </c>
      <c r="J39" s="47">
        <f t="shared" si="0"/>
        <v>81</v>
      </c>
      <c r="K39" s="47" t="str">
        <f t="shared" si="1"/>
        <v>A</v>
      </c>
    </row>
    <row r="45" spans="1:11" x14ac:dyDescent="0.25">
      <c r="G45" s="101" t="s">
        <v>66</v>
      </c>
      <c r="H45" s="101"/>
      <c r="I45" s="101"/>
      <c r="J45" s="101"/>
      <c r="K45" s="101"/>
    </row>
    <row r="46" spans="1:11" x14ac:dyDescent="0.25">
      <c r="A46" s="36" t="s">
        <v>62</v>
      </c>
    </row>
    <row r="47" spans="1:11" x14ac:dyDescent="0.25">
      <c r="A47" s="91" t="s">
        <v>165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x14ac:dyDescent="0.25">
      <c r="G48" s="23"/>
      <c r="H48" s="23"/>
      <c r="I48" s="23"/>
      <c r="J48" s="23"/>
      <c r="K48" s="23"/>
    </row>
    <row r="49" spans="1:11" x14ac:dyDescent="0.25">
      <c r="A49" s="37" t="s">
        <v>64</v>
      </c>
    </row>
    <row r="50" spans="1:11" x14ac:dyDescent="0.25">
      <c r="A50" s="91" t="s">
        <v>102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</row>
    <row r="53" spans="1:11" x14ac:dyDescent="0.25">
      <c r="A53" s="37" t="s">
        <v>63</v>
      </c>
    </row>
    <row r="54" spans="1:11" x14ac:dyDescent="0.25">
      <c r="A54" s="23" t="s">
        <v>65</v>
      </c>
    </row>
  </sheetData>
  <sheetProtection algorithmName="SHA-512" hashValue="TqiVQ3kk0hE1opDHqBselfVSaZbo/G0IIqtIz38/U6L2DPcW+0j2kd2sSY5AfpAIqLPfScYwxtHeXuNAgdBohw==" saltValue="dEsEHjoY2Jofldvw1TiuNg==" spinCount="100000" sheet="1" objects="1" scenarios="1"/>
  <mergeCells count="14">
    <mergeCell ref="G15:G18"/>
    <mergeCell ref="G45:K45"/>
    <mergeCell ref="A50:K50"/>
    <mergeCell ref="B1:K2"/>
    <mergeCell ref="B3:K3"/>
    <mergeCell ref="B4:K4"/>
    <mergeCell ref="B5:K6"/>
    <mergeCell ref="J7:K13"/>
    <mergeCell ref="A9:B9"/>
    <mergeCell ref="A10:B10"/>
    <mergeCell ref="A11:B11"/>
    <mergeCell ref="A12:B12"/>
    <mergeCell ref="A13:B13"/>
    <mergeCell ref="A47:K47"/>
  </mergeCells>
  <conditionalFormatting sqref="K21:K39">
    <cfRule type="cellIs" dxfId="4" priority="2" operator="equal">
      <formula>"F"</formula>
    </cfRule>
    <cfRule type="cellIs" dxfId="3" priority="3" operator="equal">
      <formula>"P"</formula>
    </cfRule>
    <cfRule type="cellIs" dxfId="2" priority="4" operator="equal">
      <formula>"C"</formula>
    </cfRule>
    <cfRule type="cellIs" dxfId="1" priority="5" operator="equal">
      <formula>"A"</formula>
    </cfRule>
  </conditionalFormatting>
  <conditionalFormatting sqref="K21:K39">
    <cfRule type="cellIs" dxfId="0" priority="1" operator="equal">
      <formula>"A"</formula>
    </cfRule>
  </conditionalFormatting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0000000}">
          <x14:formula1>
            <xm:f>sheet2!$F$8:$F$64</xm:f>
          </x14:formula1>
          <xm:sqref>A47</xm:sqref>
        </x14:dataValidation>
        <x14:dataValidation type="list" allowBlank="1" showInputMessage="1" showErrorMessage="1" xr:uid="{00000000-0002-0000-1700-000001000000}">
          <x14:formula1>
            <xm:f>sheet2!$G$8:$G$64</xm:f>
          </x14:formula1>
          <xm:sqref>A50:K50</xm:sqref>
        </x14:dataValidation>
        <x14:dataValidation type="list" allowBlank="1" showInputMessage="1" showErrorMessage="1" xr:uid="{00000000-0002-0000-1700-000002000000}">
          <x14:formula1>
            <xm:f>sheet2!$H$8:$H$12</xm:f>
          </x14:formula1>
          <xm:sqref>J15:J18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Easynett</dc:creator>
  <cp:lastModifiedBy>Sir easynett</cp:lastModifiedBy>
  <cp:lastPrinted>2026-05-31T18:55:43Z</cp:lastPrinted>
  <dcterms:created xsi:type="dcterms:W3CDTF">2019-07-29T16:13:47Z</dcterms:created>
  <dcterms:modified xsi:type="dcterms:W3CDTF">2026-05-31T18:57:38Z</dcterms:modified>
</cp:coreProperties>
</file>